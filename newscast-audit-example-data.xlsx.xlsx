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https://tegna-my.sharepoint.com/personal/etalley_tegna_com/Documents/"/>
    </mc:Choice>
  </mc:AlternateContent>
  <xr:revisionPtr revIDLastSave="107" documentId="13_ncr:1_{AD74628D-BE06-4FC1-BE04-2187DD70E9AC}" xr6:coauthVersionLast="47" xr6:coauthVersionMax="47" xr10:uidLastSave="{AC8664B2-6CA4-47E4-8ED0-2F6AA84C57F4}"/>
  <bookViews>
    <workbookView xWindow="28680" yWindow="-120" windowWidth="29040" windowHeight="15720" firstSheet="2" xr2:uid="{00000000-000D-0000-FFFF-FFFF0000000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9" i="1" l="1"/>
  <c r="M49" i="1"/>
  <c r="N49" i="1"/>
  <c r="O49" i="1"/>
  <c r="P49" i="1"/>
  <c r="Q49" i="1"/>
  <c r="I49" i="1"/>
  <c r="J49" i="1"/>
  <c r="K49" i="1"/>
  <c r="H49" i="1"/>
  <c r="E56" i="1"/>
  <c r="D55" i="1"/>
</calcChain>
</file>

<file path=xl/sharedStrings.xml><?xml version="1.0" encoding="utf-8"?>
<sst xmlns="http://schemas.openxmlformats.org/spreadsheetml/2006/main" count="837" uniqueCount="90">
  <si>
    <t>Id</t>
  </si>
  <si>
    <t>Start time</t>
  </si>
  <si>
    <t>Completion time</t>
  </si>
  <si>
    <t>Email</t>
  </si>
  <si>
    <t>Name</t>
  </si>
  <si>
    <t>Date of newscast:</t>
  </si>
  <si>
    <t>Which newscast are you auditing?</t>
  </si>
  <si>
    <t xml:space="preserve">Does each story create urgency with time relevance and active writing explaining why stories are being told right now? </t>
  </si>
  <si>
    <t>Is a tease to streaming in at least every 30 minutes with specific content push for each show?</t>
  </si>
  <si>
    <t>Did we use streaming content and/or mobile shorts in this show?</t>
  </si>
  <si>
    <t>Are maps, timelines and supporting graphics used within 30 minutes for events and included as useful context in newscasts?</t>
  </si>
  <si>
    <t>Is there a clearly defined weather story, supported by graphics or video?</t>
  </si>
  <si>
    <t>Does each weather hit focus on new/now/next?</t>
  </si>
  <si>
    <t>Does the story address the audience as “you,” end with "Here’s what you can do today”?</t>
  </si>
  <si>
    <t>Are anchors shown three times per show on tight shots with name supers?</t>
  </si>
  <si>
    <t>Did we specifically reference every piece of file or non-descript video?</t>
  </si>
  <si>
    <t>Do anchors add local context to two or more stories and include one community-celebration story per hour?</t>
  </si>
  <si>
    <t>Additional comments below:</t>
  </si>
  <si>
    <t>BHarnish@tegna.com</t>
  </si>
  <si>
    <t>Bre Harnish</t>
  </si>
  <si>
    <t>11pm</t>
  </si>
  <si>
    <t>Yes</t>
  </si>
  <si>
    <t>11p</t>
  </si>
  <si>
    <t>CBovia@tegna.com</t>
  </si>
  <si>
    <t>Chris Bovia</t>
  </si>
  <si>
    <t>Noon, Noon+</t>
  </si>
  <si>
    <t>Lots of fun today - We had a sub-in producer, sub-in automator, and sub-in anchor, but we managed to get in a New at Noon story, several local and national stories of concern, and relevant talker segment with potential impact on families in our area, plus a vertical video impacting local students. Yay us.</t>
  </si>
  <si>
    <t>cfleszar@tegna.com</t>
  </si>
  <si>
    <t>Christopher Fleszar</t>
  </si>
  <si>
    <t>5PM</t>
  </si>
  <si>
    <t>No</t>
  </si>
  <si>
    <t>Noon</t>
  </si>
  <si>
    <t xml:space="preserve">WE ARE DOING SOME OF THIS, BUT THE FORM USES WORDS LIKE 'EVERY' STORY.  IT'S HARD TO ACCOMPLISH A LOT OF THIS ON 'EVERY' STORY. MIGHT WANT TO CHANGE THE FORM TO 'MULTIPLE' STORIES OR AT LEAST 3 STORIES. IT'S HARD TO FILL IT OUT ACCURATELY. </t>
  </si>
  <si>
    <t>6pm</t>
  </si>
  <si>
    <t xml:space="preserve">NOON </t>
  </si>
  <si>
    <t>NOON</t>
  </si>
  <si>
    <t xml:space="preserve">5pm </t>
  </si>
  <si>
    <t>N/A</t>
  </si>
  <si>
    <t xml:space="preserve">I think we would be able to track our progress more accurately by saying what percentage of stories have this or the other thing. 25%, 50% 75%, 100%.  The absolute language makes it difficult to actually track progress.... in my opinion! </t>
  </si>
  <si>
    <t>5pm</t>
  </si>
  <si>
    <t>6PM</t>
  </si>
  <si>
    <t>jdragos@tegna.com</t>
  </si>
  <si>
    <t>Juliet Dragos</t>
  </si>
  <si>
    <t>11 PM</t>
  </si>
  <si>
    <t xml:space="preserve">Nick got neighbor's ring cam video of the sot of the police shootout.  Had issues with GR Veterans Day Parade.  Nick said he couldn't find a place to park.  Had issues early with the Dejero and were unable to stream the GR chief's news conference.  One vo was not attached.  One banner had a misspelling. </t>
  </si>
  <si>
    <t>BUSY NIGHT OF BREAKING NEWS AND NORTHERN LIGHTS - GREAT HUSTLE BY NIGHT SIDE TEAM!</t>
  </si>
  <si>
    <t>Short Newscast because the final 13OYSL was the second 15 minutes of the show</t>
  </si>
  <si>
    <t>11 pm</t>
  </si>
  <si>
    <t>MNF - Went on 20 minutes late.  Lead was wintery mix in forecast for morning commute.  Developing news on Muskegon Heights woman murdered early this afternoon.  Rough newscast technically.  CUEZ automator had at least half a dozen mistakes.  Producer also incorrectly coded a towercam and mistimed the show (because of late out time from network).</t>
  </si>
  <si>
    <t>Bre off - Matt Gard produced.  Lots of new content.</t>
  </si>
  <si>
    <t>Lead-In CMAs - tailored teases and content to audience</t>
  </si>
  <si>
    <t>Breaking political news:  Marjorie Taylor Greene announced resignation &amp; U.S, Senator Elissa Slotkin had a bomb threat at her home on the east side of the state.  Also... Nick/Collin did a really nice pkg on the tree lighting and new businesses in downtown Rockford.</t>
  </si>
  <si>
    <t>Big weather story - Snow for Thanksgiving &amp; Saturday after</t>
  </si>
  <si>
    <t xml:space="preserve">"Dancing With The Stars" Finale.  Strategized on teases and content for that audience.
Only one reporter. Several developments from city meetings and new content.  </t>
  </si>
  <si>
    <t>11 P.M.</t>
  </si>
  <si>
    <t>13 WEATHER IMPACT ALERT DAY.  Winter Storm Warnings &amp; Advisories in effect through Thanksgiving holiday weekend.</t>
  </si>
  <si>
    <t>Lake Effect Snow Storm - 13 Weather Impact Alert for part of viewing area.  Crew was live in Oceana County where snow was coming down the hardest.  Team coverage.</t>
  </si>
  <si>
    <t xml:space="preserve">Lots of new, local content from all over the viewing area. No file video used.  Played mobile short  coming out of last break to the 2 shot for final weather.  It was a kid sledding on his snow day.  I thought it worked well.  </t>
  </si>
  <si>
    <t xml:space="preserve">11 PM </t>
  </si>
  <si>
    <t xml:space="preserve">Aftermath of unexpected freezing rain.  Nightside report focused on "what's next" in treating the roads/black ice and what to do if you're in a slideoff.  Anchor shot vertical video of slideoffs and backups on her way to work. </t>
  </si>
  <si>
    <t>Team effort - Matt Gard had a family emergency and had to leave during newscast - Nick moved from automator to producer and Brielle automated for Nick - Lots of new content</t>
  </si>
  <si>
    <t>MGafa@tegna.com</t>
  </si>
  <si>
    <t>Madison Gafa</t>
  </si>
  <si>
    <t>5am to 7am</t>
  </si>
  <si>
    <t>7am to 9am</t>
  </si>
  <si>
    <t>We are teasing streaming/vertical video 1 time per hour.
Having trouble fitting in all required teases + School Spirit Challenge and Golf Card promos</t>
  </si>
  <si>
    <t>5a-7a</t>
  </si>
  <si>
    <t>7a-9a</t>
  </si>
  <si>
    <t>yay!</t>
  </si>
  <si>
    <t>7am ot 8am</t>
  </si>
  <si>
    <t>Still working on teasing to noon/noon+ in the 8a hour</t>
  </si>
  <si>
    <t>Streaming tease dropped in one  half hour for time. But at least one tease an hour</t>
  </si>
  <si>
    <t>rlennema@tegna.com</t>
  </si>
  <si>
    <t>Roger Lenneman</t>
  </si>
  <si>
    <t>5:30PM</t>
  </si>
  <si>
    <t>SLakin@tegna.com</t>
  </si>
  <si>
    <t>Shayna Lakin</t>
  </si>
  <si>
    <t>Evening+</t>
  </si>
  <si>
    <t>WZZM OpEx overall stats, 11.11 - 12.11</t>
  </si>
  <si>
    <t>% YES</t>
  </si>
  <si>
    <t>Urgency + time stamps?</t>
  </si>
  <si>
    <t>Specific streaming tease</t>
  </si>
  <si>
    <t>Use of vertical videos or streaming content?</t>
  </si>
  <si>
    <t>Maps, timelines, specific graphics?</t>
  </si>
  <si>
    <t>Clear weather story communicated?</t>
  </si>
  <si>
    <t>Every wx hit new, now, next?</t>
  </si>
  <si>
    <t>Address audience, end with actionable item?</t>
  </si>
  <si>
    <t>Three tight anchor shots with supers?</t>
  </si>
  <si>
    <t>All file video referenced?</t>
  </si>
  <si>
    <t>Anchors add local content 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</si>
</sst>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0">
    <xf numFmtId="0" fontId="0" fillId="0" borderId="0" xfId="0"/>
    <xf numFmtId="14" fontId="0" fillId="0" borderId="0" xfId="0" applyNumberFormat="1"/>
    <xf numFmtId="22" fontId="0" fillId="0" borderId="0" xfId="0" applyNumberFormat="1"/>
    <xf numFmtId="0" fontId="0" fillId="0" borderId="1" xfId="0" applyBorder="1"/>
    <xf numFmtId="22" fontId="0" fillId="0" borderId="2" xfId="0" applyNumberFormat="1" applyBorder="1"/>
    <xf numFmtId="0" fontId="0" fillId="0" borderId="2" xfId="0" applyBorder="1"/>
    <xf numFmtId="14" fontId="0" fillId="0" borderId="2" xfId="0" applyNumberFormat="1" applyBorder="1"/>
    <xf numFmtId="0" fontId="0" fillId="0" borderId="3" xfId="0" applyBorder="1"/>
    <xf numFmtId="0" fontId="0" fillId="2" borderId="1" xfId="0" applyFill="1" applyBorder="1"/>
    <xf numFmtId="22" fontId="0" fillId="2" borderId="2" xfId="0" applyNumberFormat="1" applyFill="1" applyBorder="1"/>
    <xf numFmtId="0" fontId="0" fillId="2" borderId="2" xfId="0" applyFill="1" applyBorder="1"/>
    <xf numFmtId="14" fontId="0" fillId="2" borderId="2" xfId="0" applyNumberFormat="1" applyFill="1" applyBorder="1"/>
    <xf numFmtId="0" fontId="0" fillId="2" borderId="3" xfId="0" applyFill="1" applyBorder="1"/>
    <xf numFmtId="0" fontId="1" fillId="3" borderId="1" xfId="0" applyFont="1" applyFill="1" applyBorder="1"/>
    <xf numFmtId="0" fontId="1" fillId="3" borderId="2" xfId="0" applyFont="1" applyFill="1" applyBorder="1"/>
    <xf numFmtId="0" fontId="1" fillId="3" borderId="3" xfId="0" applyFont="1" applyFill="1" applyBorder="1"/>
    <xf numFmtId="49" fontId="0" fillId="0" borderId="0" xfId="0" applyNumberFormat="1"/>
    <xf numFmtId="2" fontId="0" fillId="0" borderId="0" xfId="0" applyNumberFormat="1"/>
    <xf numFmtId="0" fontId="2" fillId="0" borderId="0" xfId="0" applyFont="1"/>
    <xf numFmtId="0" fontId="2" fillId="0" borderId="0" xfId="0" applyFont="1" applyAlignment="1">
      <alignment horizontal="left" indent="1"/>
    </xf>
  </cellXfs>
  <cellStyles count="1">
    <cellStyle name="Normal" xfId="0" builtinId="0"/>
  </cellStyles>
  <dxfs count="30">
    <dxf>
      <numFmt numFmtId="30" formatCode="@"/>
    </dxf>
    <dxf>
      <numFmt numFmtId="30" formatCode="@"/>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R49" totalsRowCount="1">
  <autoFilter ref="A1:R48" xr:uid="{00000000-0009-0000-0100-000001000000}"/>
  <sortState xmlns:xlrd2="http://schemas.microsoft.com/office/spreadsheetml/2017/richdata2" ref="A2:R48">
    <sortCondition ref="E1:E48"/>
  </sortState>
  <tableColumns count="18">
    <tableColumn id="1" xr3:uid="{00000000-0010-0000-0000-000001000000}" name="Id" dataDxfId="28" totalsRowDxfId="29">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26" totalsRowDxfId="27">
      <extLst>
        <ext xmlns:xlmsforms="http://schemas.microsoft.com/office/spreadsheetml/2023/msForms" uri="{FCC71383-01E1-4257-9335-427F07BE8D7F}">
          <xlmsforms:question id="responder"/>
        </ext>
      </extLst>
    </tableColumn>
    <tableColumn id="5" xr3:uid="{00000000-0010-0000-0000-000005000000}" name="Name" dataDxfId="24" totalsRowDxfId="25">
      <extLst>
        <ext xmlns:xlmsforms="http://schemas.microsoft.com/office/spreadsheetml/2023/msForms" uri="{FCC71383-01E1-4257-9335-427F07BE8D7F}">
          <xlmsforms:question id="responderName"/>
        </ext>
      </extLst>
    </tableColumn>
    <tableColumn id="6" xr3:uid="{00000000-0010-0000-0000-000006000000}" name="Date of newscast:">
      <extLst>
        <ext xmlns:xlmsforms="http://schemas.microsoft.com/office/spreadsheetml/2023/msForms" uri="{FCC71383-01E1-4257-9335-427F07BE8D7F}">
          <xlmsforms:question id="r9f6f836978584bb4a508e3858d042cf5"/>
        </ext>
      </extLst>
    </tableColumn>
    <tableColumn id="7" xr3:uid="{00000000-0010-0000-0000-000007000000}" name="Which newscast are you auditing?" dataDxfId="22" totalsRowDxfId="23">
      <extLst>
        <ext xmlns:xlmsforms="http://schemas.microsoft.com/office/spreadsheetml/2023/msForms" uri="{FCC71383-01E1-4257-9335-427F07BE8D7F}">
          <xlmsforms:question id="rfc03f153d4014fb18a0790c0827a90bc"/>
        </ext>
      </extLst>
    </tableColumn>
    <tableColumn id="8" xr3:uid="{00000000-0010-0000-0000-000008000000}" name="Does each story create urgency with time relevance and active writing explaining why stories are being told right now? " totalsRowFunction="custom" dataDxfId="20" totalsRowDxfId="21">
      <totalsRowFormula>COUNTIF(H2:H48,"yes")/COUNTA(H2:H48)*100</totalsRowFormula>
      <extLst>
        <ext xmlns:xlmsforms="http://schemas.microsoft.com/office/spreadsheetml/2023/msForms" uri="{FCC71383-01E1-4257-9335-427F07BE8D7F}">
          <xlmsforms:question id="rb8c6fc612fde4d23881ca4e0eb7f3c7a"/>
        </ext>
      </extLst>
    </tableColumn>
    <tableColumn id="9" xr3:uid="{00000000-0010-0000-0000-000009000000}" name="Is a tease to streaming in at least every 30 minutes with specific content push for each show?" totalsRowFunction="custom" dataDxfId="18" totalsRowDxfId="19">
      <totalsRowFormula>COUNTIF(I2:I48,"yes")/COUNTA(I2:I48)*100</totalsRowFormula>
      <extLst>
        <ext xmlns:xlmsforms="http://schemas.microsoft.com/office/spreadsheetml/2023/msForms" uri="{FCC71383-01E1-4257-9335-427F07BE8D7F}">
          <xlmsforms:question id="r4f68dc4412334fe399e2bf892f2c196a"/>
        </ext>
      </extLst>
    </tableColumn>
    <tableColumn id="10" xr3:uid="{00000000-0010-0000-0000-00000A000000}" name="Did we use streaming content and/or mobile shorts in this show?" totalsRowFunction="custom" dataDxfId="16" totalsRowDxfId="17">
      <totalsRowFormula>COUNTIF(J2:J48,"yes")/COUNTA(J2:J48)*100</totalsRowFormula>
      <extLst>
        <ext xmlns:xlmsforms="http://schemas.microsoft.com/office/spreadsheetml/2023/msForms" uri="{FCC71383-01E1-4257-9335-427F07BE8D7F}">
          <xlmsforms:question id="rde467ce2663143de9dc102c1b7ae1b56"/>
        </ext>
      </extLst>
    </tableColumn>
    <tableColumn id="11" xr3:uid="{00000000-0010-0000-0000-00000B000000}" name="Are maps, timelines and supporting graphics used within 30 minutes for events and included as useful context in newscasts?" totalsRowFunction="custom" dataDxfId="14" totalsRowDxfId="15">
      <totalsRowFormula>COUNTIF(K2:K48,"yes")/COUNTA(K2:K48)*100</totalsRowFormula>
      <extLst>
        <ext xmlns:xlmsforms="http://schemas.microsoft.com/office/spreadsheetml/2023/msForms" uri="{FCC71383-01E1-4257-9335-427F07BE8D7F}">
          <xlmsforms:question id="r495a18d1c48f42ffbd7c34fffcac4307"/>
        </ext>
      </extLst>
    </tableColumn>
    <tableColumn id="12" xr3:uid="{00000000-0010-0000-0000-00000C000000}" name="Is there a clearly defined weather story, supported by graphics or video?" totalsRowFunction="custom" dataDxfId="12" totalsRowDxfId="13">
      <totalsRowFormula>COUNTIF(L2:L48,"yes")/COUNTA(L2:L48)*100</totalsRowFormula>
      <extLst>
        <ext xmlns:xlmsforms="http://schemas.microsoft.com/office/spreadsheetml/2023/msForms" uri="{FCC71383-01E1-4257-9335-427F07BE8D7F}">
          <xlmsforms:question id="rd52190e2bc5c4a7b9e30b5f040458804"/>
        </ext>
      </extLst>
    </tableColumn>
    <tableColumn id="13" xr3:uid="{00000000-0010-0000-0000-00000D000000}" name="Does each weather hit focus on new/now/next?" totalsRowFunction="custom" dataDxfId="10" totalsRowDxfId="11">
      <totalsRowFormula>COUNTIF(M2:M48,"yes")/COUNTA(M2:M48)*100</totalsRowFormula>
      <extLst>
        <ext xmlns:xlmsforms="http://schemas.microsoft.com/office/spreadsheetml/2023/msForms" uri="{FCC71383-01E1-4257-9335-427F07BE8D7F}">
          <xlmsforms:question id="r06d28d233c9a4a66b3145fac1f0f760e"/>
        </ext>
      </extLst>
    </tableColumn>
    <tableColumn id="14" xr3:uid="{00000000-0010-0000-0000-00000E000000}" name="Does the story address the audience as “you,” end with &quot;Here’s what you can do today”?" totalsRowFunction="custom" dataDxfId="8" totalsRowDxfId="9">
      <totalsRowFormula>COUNTIF(N2:N48,"yes")/COUNTA(N2:N48)*100</totalsRowFormula>
      <extLst>
        <ext xmlns:xlmsforms="http://schemas.microsoft.com/office/spreadsheetml/2023/msForms" uri="{FCC71383-01E1-4257-9335-427F07BE8D7F}">
          <xlmsforms:question id="racbea6832b614c1d8d79096893baa564"/>
        </ext>
      </extLst>
    </tableColumn>
    <tableColumn id="15" xr3:uid="{00000000-0010-0000-0000-00000F000000}" name="Are anchors shown three times per show on tight shots with name supers?" totalsRowFunction="custom" dataDxfId="6" totalsRowDxfId="7">
      <totalsRowFormula>COUNTIF(O2:O48,"yes")/COUNTA(O2:O48)*100</totalsRowFormula>
      <extLst>
        <ext xmlns:xlmsforms="http://schemas.microsoft.com/office/spreadsheetml/2023/msForms" uri="{FCC71383-01E1-4257-9335-427F07BE8D7F}">
          <xlmsforms:question id="r91a6a6c5256f42b39196c3f981e1b45e"/>
        </ext>
      </extLst>
    </tableColumn>
    <tableColumn id="16" xr3:uid="{00000000-0010-0000-0000-000010000000}" name="Did we specifically reference every piece of file or non-descript video?" totalsRowFunction="custom" dataDxfId="4" totalsRowDxfId="5">
      <totalsRowFormula>COUNTIF(P2:P48,"yes")/COUNTA(P2:P48)*100</totalsRowFormula>
      <extLst>
        <ext xmlns:xlmsforms="http://schemas.microsoft.com/office/spreadsheetml/2023/msForms" uri="{FCC71383-01E1-4257-9335-427F07BE8D7F}">
          <xlmsforms:question id="r8a17e9d5042d415ea72c4e32e2dcf77e"/>
        </ext>
      </extLst>
    </tableColumn>
    <tableColumn id="17" xr3:uid="{00000000-0010-0000-0000-000011000000}" name="Do anchors add local context to two or more stories and include one community-celebration story per hour?" totalsRowFunction="custom" dataDxfId="2" totalsRowDxfId="3">
      <totalsRowFormula>COUNTIF(Q2:Q48,"yes")/COUNTA(Q2:Q48)*100</totalsRowFormula>
      <extLst>
        <ext xmlns:xlmsforms="http://schemas.microsoft.com/office/spreadsheetml/2023/msForms" uri="{FCC71383-01E1-4257-9335-427F07BE8D7F}">
          <xlmsforms:question id="red7e11f6e97d4a2f932f3fd2b5ce181d"/>
        </ext>
      </extLst>
    </tableColumn>
    <tableColumn id="18" xr3:uid="{00000000-0010-0000-0000-000012000000}" name="Additional comments below:" dataDxfId="0" totalsRowDxfId="1">
      <extLst>
        <ext xmlns:xlmsforms="http://schemas.microsoft.com/office/spreadsheetml/2023/msForms" uri="{FCC71383-01E1-4257-9335-427F07BE8D7F}">
          <xlmsforms:question id="r985749a38d164d56948ff30c6ac0ead1"/>
        </ext>
      </extLst>
    </tableColumn>
  </tableColumns>
  <tableStyleInfo name="TableStyleMedium2" showFirstColumn="0" showLastColumn="0" showRowStripes="1" showColumnStripes="0"/>
  <extLst>
    <ext xmlns:xlmsforms="http://schemas.microsoft.com/office/spreadsheetml/2023/msForms" uri="{839C7E11-91E4-4DBD-9C5D-0DEA604FA9AC}">
      <xlmsforms:msForm id="m6fYzGhyO0GHiXH4tvTA31PHwWTl3qNDpjf9bM4BbOxUNkxQTjZMMkw3RDlLSjIxSk0zWEtSU1BMMi4u" isFormConnected="1" maxResponseId="49" latestEventMarker="1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r9f6f836978584bb4a508e3858d042cf5</xlmsforms:syncedQuestionId>
        <xlmsforms:syncedQuestionId>rfc03f153d4014fb18a0790c0827a90bc</xlmsforms:syncedQuestionId>
        <xlmsforms:syncedQuestionId>rb8c6fc612fde4d23881ca4e0eb7f3c7a</xlmsforms:syncedQuestionId>
        <xlmsforms:syncedQuestionId>r4f68dc4412334fe399e2bf892f2c196a</xlmsforms:syncedQuestionId>
        <xlmsforms:syncedQuestionId>rde467ce2663143de9dc102c1b7ae1b56</xlmsforms:syncedQuestionId>
        <xlmsforms:syncedQuestionId>r495a18d1c48f42ffbd7c34fffcac4307</xlmsforms:syncedQuestionId>
        <xlmsforms:syncedQuestionId>rd52190e2bc5c4a7b9e30b5f040458804</xlmsforms:syncedQuestionId>
        <xlmsforms:syncedQuestionId>r06d28d233c9a4a66b3145fac1f0f760e</xlmsforms:syncedQuestionId>
        <xlmsforms:syncedQuestionId>racbea6832b614c1d8d79096893baa564</xlmsforms:syncedQuestionId>
        <xlmsforms:syncedQuestionId>r91a6a6c5256f42b39196c3f981e1b45e</xlmsforms:syncedQuestionId>
        <xlmsforms:syncedQuestionId>r8a17e9d5042d415ea72c4e32e2dcf77e</xlmsforms:syncedQuestionId>
        <xlmsforms:syncedQuestionId>red7e11f6e97d4a2f932f3fd2b5ce181d</xlmsforms:syncedQuestionId>
        <xlmsforms:syncedQuestionId>r985749a38d164d56948ff30c6ac0ead1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6"/>
  <sheetViews>
    <sheetView tabSelected="1" workbookViewId="0">
      <selection activeCell="M1" sqref="M1"/>
    </sheetView>
  </sheetViews>
  <sheetFormatPr defaultRowHeight="15"/>
  <cols>
    <col min="1" max="10" width="20" bestFit="1" customWidth="1"/>
    <col min="11" max="11" width="20.28515625" customWidth="1"/>
    <col min="12" max="13" width="20" bestFit="1" customWidth="1"/>
    <col min="14" max="15" width="20.42578125" customWidth="1"/>
    <col min="16" max="16" width="19.7109375" customWidth="1"/>
    <col min="17" max="17" width="20.140625" customWidth="1"/>
    <col min="18" max="18" width="20"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40</v>
      </c>
      <c r="B2" s="2">
        <v>46000.023333333302</v>
      </c>
      <c r="C2" s="2">
        <v>46000.024189814802</v>
      </c>
      <c r="D2" s="16" t="s">
        <v>18</v>
      </c>
      <c r="E2" s="16" t="s">
        <v>19</v>
      </c>
      <c r="F2" s="1">
        <v>45999</v>
      </c>
      <c r="G2" s="16" t="s">
        <v>20</v>
      </c>
      <c r="H2" s="16" t="s">
        <v>21</v>
      </c>
      <c r="I2" s="16" t="s">
        <v>21</v>
      </c>
      <c r="J2" s="16" t="s">
        <v>21</v>
      </c>
      <c r="K2" s="16" t="s">
        <v>21</v>
      </c>
      <c r="L2" s="16" t="s">
        <v>21</v>
      </c>
      <c r="M2" s="16" t="s">
        <v>21</v>
      </c>
      <c r="N2" s="16" t="s">
        <v>21</v>
      </c>
      <c r="O2" s="16" t="s">
        <v>21</v>
      </c>
      <c r="P2" s="16" t="s">
        <v>21</v>
      </c>
      <c r="Q2" s="16" t="s">
        <v>21</v>
      </c>
      <c r="R2" s="16"/>
    </row>
    <row r="3" spans="1:18">
      <c r="A3">
        <v>43</v>
      </c>
      <c r="B3" s="2">
        <v>46000.988020833298</v>
      </c>
      <c r="C3" s="2">
        <v>46000.989930555603</v>
      </c>
      <c r="D3" s="16" t="s">
        <v>18</v>
      </c>
      <c r="E3" s="16" t="s">
        <v>19</v>
      </c>
      <c r="F3" s="1">
        <v>45999</v>
      </c>
      <c r="G3" s="16" t="s">
        <v>22</v>
      </c>
      <c r="H3" s="16" t="s">
        <v>21</v>
      </c>
      <c r="I3" s="16" t="s">
        <v>21</v>
      </c>
      <c r="J3" s="16" t="s">
        <v>21</v>
      </c>
      <c r="K3" s="16" t="s">
        <v>21</v>
      </c>
      <c r="L3" s="16" t="s">
        <v>21</v>
      </c>
      <c r="M3" s="16" t="s">
        <v>21</v>
      </c>
      <c r="N3" s="16" t="s">
        <v>21</v>
      </c>
      <c r="O3" s="16" t="s">
        <v>21</v>
      </c>
      <c r="P3" s="16" t="s">
        <v>21</v>
      </c>
      <c r="Q3" s="16" t="s">
        <v>21</v>
      </c>
      <c r="R3" s="16"/>
    </row>
    <row r="4" spans="1:18">
      <c r="A4">
        <v>46</v>
      </c>
      <c r="B4" s="2">
        <v>46001.982916666697</v>
      </c>
      <c r="C4" s="2">
        <v>46001.9832523148</v>
      </c>
      <c r="D4" s="16" t="s">
        <v>18</v>
      </c>
      <c r="E4" s="16" t="s">
        <v>19</v>
      </c>
      <c r="F4" s="1">
        <v>46001</v>
      </c>
      <c r="G4" s="16" t="s">
        <v>22</v>
      </c>
      <c r="H4" s="16" t="s">
        <v>21</v>
      </c>
      <c r="I4" s="16" t="s">
        <v>21</v>
      </c>
      <c r="J4" s="16" t="s">
        <v>21</v>
      </c>
      <c r="K4" s="16" t="s">
        <v>21</v>
      </c>
      <c r="L4" s="16" t="s">
        <v>21</v>
      </c>
      <c r="M4" s="16" t="s">
        <v>21</v>
      </c>
      <c r="N4" s="16" t="s">
        <v>21</v>
      </c>
      <c r="O4" s="16" t="s">
        <v>21</v>
      </c>
      <c r="P4" s="16" t="s">
        <v>21</v>
      </c>
      <c r="Q4" s="16" t="s">
        <v>21</v>
      </c>
      <c r="R4" s="16"/>
    </row>
    <row r="5" spans="1:18">
      <c r="A5">
        <v>49</v>
      </c>
      <c r="B5" s="2">
        <v>46002.982581018499</v>
      </c>
      <c r="C5" s="2">
        <v>46002.982905092598</v>
      </c>
      <c r="D5" s="16" t="s">
        <v>18</v>
      </c>
      <c r="E5" s="16" t="s">
        <v>19</v>
      </c>
      <c r="F5" s="1">
        <v>46002</v>
      </c>
      <c r="G5" s="16" t="s">
        <v>22</v>
      </c>
      <c r="H5" s="16" t="s">
        <v>21</v>
      </c>
      <c r="I5" s="16" t="s">
        <v>21</v>
      </c>
      <c r="J5" s="16" t="s">
        <v>21</v>
      </c>
      <c r="K5" s="16" t="s">
        <v>21</v>
      </c>
      <c r="L5" s="16" t="s">
        <v>21</v>
      </c>
      <c r="M5" s="16" t="s">
        <v>21</v>
      </c>
      <c r="N5" s="16" t="s">
        <v>21</v>
      </c>
      <c r="O5" s="16" t="s">
        <v>21</v>
      </c>
      <c r="P5" s="16" t="s">
        <v>21</v>
      </c>
      <c r="Q5" s="16" t="s">
        <v>21</v>
      </c>
      <c r="R5" s="16"/>
    </row>
    <row r="6" spans="1:18">
      <c r="A6">
        <v>37</v>
      </c>
      <c r="B6" s="2">
        <v>45995.477384259262</v>
      </c>
      <c r="C6" s="2">
        <v>45995.570625</v>
      </c>
      <c r="D6" t="s">
        <v>23</v>
      </c>
      <c r="E6" t="s">
        <v>24</v>
      </c>
      <c r="F6" s="1">
        <v>45995</v>
      </c>
      <c r="G6" t="s">
        <v>25</v>
      </c>
      <c r="H6" t="s">
        <v>21</v>
      </c>
      <c r="I6" t="s">
        <v>21</v>
      </c>
      <c r="J6" t="s">
        <v>21</v>
      </c>
      <c r="K6" t="s">
        <v>21</v>
      </c>
      <c r="L6" t="s">
        <v>21</v>
      </c>
      <c r="M6" t="s">
        <v>21</v>
      </c>
      <c r="N6" t="s">
        <v>21</v>
      </c>
      <c r="O6" t="s">
        <v>21</v>
      </c>
      <c r="P6" t="s">
        <v>21</v>
      </c>
      <c r="Q6" t="s">
        <v>21</v>
      </c>
      <c r="R6" t="s">
        <v>26</v>
      </c>
    </row>
    <row r="7" spans="1:18">
      <c r="A7">
        <v>12</v>
      </c>
      <c r="B7" s="2">
        <v>45979.736770833333</v>
      </c>
      <c r="C7" s="2">
        <v>45979.74523148148</v>
      </c>
      <c r="D7" t="s">
        <v>27</v>
      </c>
      <c r="E7" t="s">
        <v>28</v>
      </c>
      <c r="F7" s="1">
        <v>45979</v>
      </c>
      <c r="G7" t="s">
        <v>29</v>
      </c>
      <c r="H7" t="s">
        <v>21</v>
      </c>
      <c r="I7" t="s">
        <v>30</v>
      </c>
      <c r="J7" t="s">
        <v>21</v>
      </c>
      <c r="K7" t="s">
        <v>21</v>
      </c>
      <c r="L7" t="s">
        <v>30</v>
      </c>
      <c r="M7" t="s">
        <v>30</v>
      </c>
      <c r="N7" t="s">
        <v>30</v>
      </c>
      <c r="O7" t="s">
        <v>21</v>
      </c>
      <c r="P7" t="s">
        <v>30</v>
      </c>
      <c r="Q7" t="s">
        <v>30</v>
      </c>
    </row>
    <row r="8" spans="1:18">
      <c r="A8">
        <v>14</v>
      </c>
      <c r="B8" s="2">
        <v>45980.512025462966</v>
      </c>
      <c r="C8" s="2">
        <v>45980.512245370373</v>
      </c>
      <c r="D8" t="s">
        <v>27</v>
      </c>
      <c r="E8" t="s">
        <v>28</v>
      </c>
      <c r="F8" s="1">
        <v>45980</v>
      </c>
      <c r="G8" t="s">
        <v>31</v>
      </c>
      <c r="H8" t="s">
        <v>21</v>
      </c>
      <c r="I8" t="s">
        <v>30</v>
      </c>
      <c r="J8" t="s">
        <v>30</v>
      </c>
      <c r="K8" t="s">
        <v>21</v>
      </c>
      <c r="L8" t="s">
        <v>21</v>
      </c>
      <c r="M8" t="s">
        <v>21</v>
      </c>
      <c r="N8" t="s">
        <v>30</v>
      </c>
      <c r="O8" t="s">
        <v>30</v>
      </c>
      <c r="P8" t="s">
        <v>30</v>
      </c>
      <c r="Q8" t="s">
        <v>30</v>
      </c>
      <c r="R8" t="s">
        <v>32</v>
      </c>
    </row>
    <row r="9" spans="1:18">
      <c r="A9">
        <v>16</v>
      </c>
      <c r="B9" s="2">
        <v>45980.766817129632</v>
      </c>
      <c r="C9" s="2">
        <v>45980.767604166664</v>
      </c>
      <c r="D9" t="s">
        <v>27</v>
      </c>
      <c r="E9" t="s">
        <v>28</v>
      </c>
      <c r="F9" s="1">
        <v>45980</v>
      </c>
      <c r="G9" t="s">
        <v>33</v>
      </c>
      <c r="H9" t="s">
        <v>30</v>
      </c>
      <c r="I9" t="s">
        <v>21</v>
      </c>
      <c r="J9" t="s">
        <v>21</v>
      </c>
      <c r="K9" t="s">
        <v>30</v>
      </c>
      <c r="L9" t="s">
        <v>21</v>
      </c>
      <c r="N9" t="s">
        <v>30</v>
      </c>
      <c r="O9" t="s">
        <v>21</v>
      </c>
      <c r="P9" t="s">
        <v>21</v>
      </c>
      <c r="Q9" t="s">
        <v>30</v>
      </c>
    </row>
    <row r="10" spans="1:18">
      <c r="A10">
        <v>28</v>
      </c>
      <c r="B10" s="2">
        <v>45993.510729166665</v>
      </c>
      <c r="C10" s="2">
        <v>45993.512499999997</v>
      </c>
      <c r="D10" t="s">
        <v>27</v>
      </c>
      <c r="E10" t="s">
        <v>28</v>
      </c>
      <c r="F10" s="1">
        <v>45993</v>
      </c>
      <c r="G10" t="s">
        <v>34</v>
      </c>
      <c r="H10" t="s">
        <v>30</v>
      </c>
      <c r="I10" t="s">
        <v>30</v>
      </c>
      <c r="J10" t="s">
        <v>30</v>
      </c>
      <c r="K10" t="s">
        <v>21</v>
      </c>
      <c r="L10" t="s">
        <v>21</v>
      </c>
      <c r="M10" t="s">
        <v>21</v>
      </c>
      <c r="N10" t="s">
        <v>30</v>
      </c>
      <c r="O10" t="s">
        <v>21</v>
      </c>
      <c r="P10" t="s">
        <v>30</v>
      </c>
      <c r="Q10" t="s">
        <v>30</v>
      </c>
    </row>
    <row r="11" spans="1:18">
      <c r="A11">
        <v>39</v>
      </c>
      <c r="B11" s="2">
        <v>45999.510231481501</v>
      </c>
      <c r="C11" s="2">
        <v>45999.511006944398</v>
      </c>
      <c r="D11" s="16" t="s">
        <v>27</v>
      </c>
      <c r="E11" s="16" t="s">
        <v>28</v>
      </c>
      <c r="F11" s="1"/>
      <c r="G11" s="16"/>
      <c r="H11" s="16"/>
      <c r="I11" s="16" t="s">
        <v>21</v>
      </c>
      <c r="J11" s="16" t="s">
        <v>30</v>
      </c>
      <c r="K11" s="16" t="s">
        <v>21</v>
      </c>
      <c r="L11" s="16" t="s">
        <v>21</v>
      </c>
      <c r="M11" s="16" t="s">
        <v>21</v>
      </c>
      <c r="N11" s="16" t="s">
        <v>21</v>
      </c>
      <c r="O11" s="16" t="s">
        <v>21</v>
      </c>
      <c r="P11" s="16" t="s">
        <v>30</v>
      </c>
      <c r="Q11" s="16" t="s">
        <v>30</v>
      </c>
      <c r="R11" s="16"/>
    </row>
    <row r="12" spans="1:18">
      <c r="A12">
        <v>41</v>
      </c>
      <c r="B12" s="2">
        <v>46000.504305555602</v>
      </c>
      <c r="C12" s="2">
        <v>46000.5151736111</v>
      </c>
      <c r="D12" s="16" t="s">
        <v>27</v>
      </c>
      <c r="E12" s="16" t="s">
        <v>28</v>
      </c>
      <c r="F12" s="1">
        <v>46000</v>
      </c>
      <c r="G12" s="16" t="s">
        <v>35</v>
      </c>
      <c r="H12" s="16" t="s">
        <v>21</v>
      </c>
      <c r="I12" s="16" t="s">
        <v>21</v>
      </c>
      <c r="J12" s="16" t="s">
        <v>21</v>
      </c>
      <c r="K12" s="16" t="s">
        <v>30</v>
      </c>
      <c r="L12" s="16" t="s">
        <v>21</v>
      </c>
      <c r="M12" s="16" t="s">
        <v>21</v>
      </c>
      <c r="N12" s="16" t="s">
        <v>30</v>
      </c>
      <c r="O12" s="16" t="s">
        <v>21</v>
      </c>
      <c r="P12" s="16" t="s">
        <v>30</v>
      </c>
      <c r="Q12" s="16" t="s">
        <v>30</v>
      </c>
      <c r="R12" s="16"/>
    </row>
    <row r="13" spans="1:18">
      <c r="A13">
        <v>42</v>
      </c>
      <c r="B13" s="2">
        <v>46000.708773148101</v>
      </c>
      <c r="C13" s="2">
        <v>46000.758379629602</v>
      </c>
      <c r="D13" s="16" t="s">
        <v>27</v>
      </c>
      <c r="E13" s="16" t="s">
        <v>28</v>
      </c>
      <c r="F13" s="1">
        <v>46000</v>
      </c>
      <c r="G13" s="16" t="s">
        <v>36</v>
      </c>
      <c r="H13" s="16" t="s">
        <v>30</v>
      </c>
      <c r="I13" s="16" t="s">
        <v>30</v>
      </c>
      <c r="J13" s="16" t="s">
        <v>21</v>
      </c>
      <c r="K13" s="16" t="s">
        <v>37</v>
      </c>
      <c r="L13" s="16" t="s">
        <v>21</v>
      </c>
      <c r="M13" s="16" t="s">
        <v>21</v>
      </c>
      <c r="N13" s="16" t="s">
        <v>30</v>
      </c>
      <c r="O13" s="16" t="s">
        <v>21</v>
      </c>
      <c r="P13" s="16" t="s">
        <v>30</v>
      </c>
      <c r="Q13" s="16" t="s">
        <v>30</v>
      </c>
      <c r="R13" s="16" t="s">
        <v>38</v>
      </c>
    </row>
    <row r="14" spans="1:18">
      <c r="A14">
        <v>44</v>
      </c>
      <c r="B14" s="2">
        <v>46001.7116087963</v>
      </c>
      <c r="C14" s="2">
        <v>46001.746643518498</v>
      </c>
      <c r="D14" s="16" t="s">
        <v>27</v>
      </c>
      <c r="E14" s="16" t="s">
        <v>28</v>
      </c>
      <c r="F14" s="1">
        <v>46001</v>
      </c>
      <c r="G14" s="16" t="s">
        <v>39</v>
      </c>
      <c r="H14" s="16" t="s">
        <v>21</v>
      </c>
      <c r="I14" s="16" t="s">
        <v>30</v>
      </c>
      <c r="J14" s="16" t="s">
        <v>21</v>
      </c>
      <c r="K14" s="16" t="s">
        <v>21</v>
      </c>
      <c r="L14" s="16" t="s">
        <v>21</v>
      </c>
      <c r="M14" s="16" t="s">
        <v>21</v>
      </c>
      <c r="N14" s="16" t="s">
        <v>30</v>
      </c>
      <c r="O14" s="16" t="s">
        <v>21</v>
      </c>
      <c r="P14" s="16" t="s">
        <v>30</v>
      </c>
      <c r="Q14" s="16" t="s">
        <v>30</v>
      </c>
      <c r="R14" s="16"/>
    </row>
    <row r="15" spans="1:18">
      <c r="A15">
        <v>45</v>
      </c>
      <c r="B15" s="2">
        <v>46001.762372685203</v>
      </c>
      <c r="C15" s="2">
        <v>46001.762812499997</v>
      </c>
      <c r="D15" s="16" t="s">
        <v>27</v>
      </c>
      <c r="E15" s="16" t="s">
        <v>28</v>
      </c>
      <c r="F15" s="1">
        <v>46001</v>
      </c>
      <c r="G15" s="16" t="s">
        <v>40</v>
      </c>
      <c r="H15" s="16" t="s">
        <v>30</v>
      </c>
      <c r="I15" s="16" t="s">
        <v>21</v>
      </c>
      <c r="J15" s="16" t="s">
        <v>21</v>
      </c>
      <c r="K15" s="16" t="s">
        <v>21</v>
      </c>
      <c r="L15" s="16" t="s">
        <v>21</v>
      </c>
      <c r="M15" s="16" t="s">
        <v>21</v>
      </c>
      <c r="N15" s="16" t="s">
        <v>30</v>
      </c>
      <c r="O15" s="16" t="s">
        <v>30</v>
      </c>
      <c r="P15" s="16" t="s">
        <v>30</v>
      </c>
      <c r="Q15" s="16" t="s">
        <v>30</v>
      </c>
      <c r="R15" s="16"/>
    </row>
    <row r="16" spans="1:18">
      <c r="A16">
        <v>47</v>
      </c>
      <c r="B16" s="2">
        <v>46002.7208217593</v>
      </c>
      <c r="C16" s="2">
        <v>46002.722025463001</v>
      </c>
      <c r="D16" s="16" t="s">
        <v>27</v>
      </c>
      <c r="E16" s="16" t="s">
        <v>28</v>
      </c>
      <c r="F16" s="1">
        <v>46002</v>
      </c>
      <c r="G16" s="16" t="s">
        <v>35</v>
      </c>
      <c r="H16" s="16" t="s">
        <v>30</v>
      </c>
      <c r="I16" s="16" t="s">
        <v>21</v>
      </c>
      <c r="J16" s="16" t="s">
        <v>21</v>
      </c>
      <c r="K16" s="16" t="s">
        <v>30</v>
      </c>
      <c r="L16" s="16" t="s">
        <v>21</v>
      </c>
      <c r="M16" s="16" t="s">
        <v>30</v>
      </c>
      <c r="N16" s="16" t="s">
        <v>30</v>
      </c>
      <c r="O16" s="16" t="s">
        <v>21</v>
      </c>
      <c r="P16" s="16" t="s">
        <v>30</v>
      </c>
      <c r="Q16" s="16" t="s">
        <v>30</v>
      </c>
      <c r="R16" s="16"/>
    </row>
    <row r="17" spans="1:18">
      <c r="A17">
        <v>48</v>
      </c>
      <c r="B17" s="2">
        <v>46002.722222222197</v>
      </c>
      <c r="C17" s="2">
        <v>46002.747349537</v>
      </c>
      <c r="D17" s="16" t="s">
        <v>27</v>
      </c>
      <c r="E17" s="16" t="s">
        <v>28</v>
      </c>
      <c r="F17" s="1">
        <v>46002</v>
      </c>
      <c r="G17" s="16" t="s">
        <v>29</v>
      </c>
      <c r="H17" s="16" t="s">
        <v>30</v>
      </c>
      <c r="I17" s="16" t="s">
        <v>21</v>
      </c>
      <c r="J17" s="16" t="s">
        <v>21</v>
      </c>
      <c r="K17" s="16" t="s">
        <v>37</v>
      </c>
      <c r="L17" s="16" t="s">
        <v>30</v>
      </c>
      <c r="M17" s="16" t="s">
        <v>21</v>
      </c>
      <c r="N17" s="16" t="s">
        <v>30</v>
      </c>
      <c r="O17" s="16" t="s">
        <v>21</v>
      </c>
      <c r="P17" s="16" t="s">
        <v>30</v>
      </c>
      <c r="Q17" s="16" t="s">
        <v>30</v>
      </c>
      <c r="R17" s="16"/>
    </row>
    <row r="18" spans="1:18">
      <c r="A18">
        <v>3</v>
      </c>
      <c r="B18" s="2">
        <v>45972.976493055554</v>
      </c>
      <c r="C18" s="2">
        <v>45972.986134259256</v>
      </c>
      <c r="D18" t="s">
        <v>41</v>
      </c>
      <c r="E18" t="s">
        <v>42</v>
      </c>
      <c r="F18" s="1">
        <v>45972</v>
      </c>
      <c r="G18" t="s">
        <v>43</v>
      </c>
      <c r="H18" t="s">
        <v>21</v>
      </c>
      <c r="I18" t="s">
        <v>30</v>
      </c>
      <c r="J18" t="s">
        <v>30</v>
      </c>
      <c r="K18" t="s">
        <v>21</v>
      </c>
      <c r="L18" t="s">
        <v>21</v>
      </c>
      <c r="M18" t="s">
        <v>21</v>
      </c>
      <c r="N18" t="s">
        <v>21</v>
      </c>
      <c r="O18" t="s">
        <v>30</v>
      </c>
      <c r="Q18" t="s">
        <v>21</v>
      </c>
      <c r="R18" t="s">
        <v>44</v>
      </c>
    </row>
    <row r="19" spans="1:18">
      <c r="A19">
        <v>6</v>
      </c>
      <c r="B19" s="2">
        <v>45973.977858796294</v>
      </c>
      <c r="C19" s="2">
        <v>45973.979212962964</v>
      </c>
      <c r="D19" t="s">
        <v>41</v>
      </c>
      <c r="E19" t="s">
        <v>42</v>
      </c>
      <c r="F19" s="1">
        <v>45973</v>
      </c>
      <c r="G19" t="s">
        <v>43</v>
      </c>
      <c r="H19" t="s">
        <v>21</v>
      </c>
      <c r="I19" t="s">
        <v>21</v>
      </c>
      <c r="J19" t="s">
        <v>21</v>
      </c>
      <c r="K19" t="s">
        <v>30</v>
      </c>
      <c r="L19" t="s">
        <v>21</v>
      </c>
      <c r="M19" t="s">
        <v>21</v>
      </c>
      <c r="N19" t="s">
        <v>21</v>
      </c>
      <c r="O19" t="s">
        <v>21</v>
      </c>
      <c r="P19" t="s">
        <v>30</v>
      </c>
      <c r="Q19" t="s">
        <v>21</v>
      </c>
      <c r="R19" t="s">
        <v>45</v>
      </c>
    </row>
    <row r="20" spans="1:18">
      <c r="A20">
        <v>7</v>
      </c>
      <c r="B20" s="2">
        <v>45975.97488425926</v>
      </c>
      <c r="C20" s="2">
        <v>45975.976319444446</v>
      </c>
      <c r="D20" t="s">
        <v>41</v>
      </c>
      <c r="E20" t="s">
        <v>42</v>
      </c>
      <c r="F20" s="1">
        <v>45975</v>
      </c>
      <c r="G20" t="s">
        <v>43</v>
      </c>
      <c r="H20" t="s">
        <v>21</v>
      </c>
      <c r="I20" t="s">
        <v>30</v>
      </c>
      <c r="J20" t="s">
        <v>30</v>
      </c>
      <c r="K20" t="s">
        <v>30</v>
      </c>
      <c r="L20" t="s">
        <v>21</v>
      </c>
      <c r="M20" t="s">
        <v>21</v>
      </c>
      <c r="N20" t="s">
        <v>21</v>
      </c>
      <c r="O20" t="s">
        <v>21</v>
      </c>
      <c r="P20" t="s">
        <v>21</v>
      </c>
      <c r="Q20" t="s">
        <v>21</v>
      </c>
      <c r="R20" t="s">
        <v>46</v>
      </c>
    </row>
    <row r="21" spans="1:18">
      <c r="A21">
        <v>11</v>
      </c>
      <c r="B21" s="2">
        <v>45979.54111111111</v>
      </c>
      <c r="C21" s="2">
        <v>45979.545381944445</v>
      </c>
      <c r="D21" t="s">
        <v>41</v>
      </c>
      <c r="E21" t="s">
        <v>42</v>
      </c>
      <c r="F21" s="1">
        <v>45978</v>
      </c>
      <c r="G21" t="s">
        <v>47</v>
      </c>
      <c r="H21" t="s">
        <v>21</v>
      </c>
      <c r="I21" t="s">
        <v>30</v>
      </c>
      <c r="J21" t="s">
        <v>30</v>
      </c>
      <c r="K21" t="s">
        <v>21</v>
      </c>
      <c r="L21" t="s">
        <v>21</v>
      </c>
      <c r="M21" t="s">
        <v>21</v>
      </c>
      <c r="N21" t="s">
        <v>21</v>
      </c>
      <c r="O21" t="s">
        <v>21</v>
      </c>
      <c r="P21" t="s">
        <v>30</v>
      </c>
      <c r="Q21" t="s">
        <v>21</v>
      </c>
      <c r="R21" t="s">
        <v>48</v>
      </c>
    </row>
    <row r="22" spans="1:18">
      <c r="A22">
        <v>15</v>
      </c>
      <c r="B22" s="2">
        <v>45980.680104166669</v>
      </c>
      <c r="C22" s="2">
        <v>45980.683113425926</v>
      </c>
      <c r="D22" t="s">
        <v>41</v>
      </c>
      <c r="E22" t="s">
        <v>42</v>
      </c>
      <c r="F22" s="1">
        <v>45979</v>
      </c>
      <c r="G22" t="s">
        <v>47</v>
      </c>
      <c r="H22" t="s">
        <v>21</v>
      </c>
      <c r="I22" t="s">
        <v>30</v>
      </c>
      <c r="J22" t="s">
        <v>21</v>
      </c>
      <c r="K22" t="s">
        <v>21</v>
      </c>
      <c r="L22" t="s">
        <v>21</v>
      </c>
      <c r="M22" t="s">
        <v>21</v>
      </c>
      <c r="N22" t="s">
        <v>21</v>
      </c>
      <c r="O22" t="s">
        <v>21</v>
      </c>
      <c r="P22" t="s">
        <v>30</v>
      </c>
      <c r="R22" t="s">
        <v>49</v>
      </c>
    </row>
    <row r="23" spans="1:18">
      <c r="A23">
        <v>17</v>
      </c>
      <c r="B23" s="2">
        <v>45980.938900462963</v>
      </c>
      <c r="C23" s="2">
        <v>45980.940891203703</v>
      </c>
      <c r="D23" t="s">
        <v>41</v>
      </c>
      <c r="E23" t="s">
        <v>42</v>
      </c>
      <c r="F23" s="1">
        <v>45980</v>
      </c>
      <c r="G23" t="s">
        <v>43</v>
      </c>
      <c r="H23" t="s">
        <v>21</v>
      </c>
      <c r="I23" t="s">
        <v>30</v>
      </c>
      <c r="J23" t="s">
        <v>30</v>
      </c>
      <c r="K23" t="s">
        <v>21</v>
      </c>
      <c r="L23" t="s">
        <v>21</v>
      </c>
      <c r="M23" t="s">
        <v>21</v>
      </c>
      <c r="N23" t="s">
        <v>21</v>
      </c>
      <c r="O23" t="s">
        <v>21</v>
      </c>
      <c r="P23" t="s">
        <v>21</v>
      </c>
      <c r="Q23" t="s">
        <v>21</v>
      </c>
      <c r="R23" t="s">
        <v>50</v>
      </c>
    </row>
    <row r="24" spans="1:18">
      <c r="A24">
        <v>21</v>
      </c>
      <c r="B24" s="2">
        <v>45985.930196759262</v>
      </c>
      <c r="C24" s="2">
        <v>45985.932245370372</v>
      </c>
      <c r="D24" t="s">
        <v>41</v>
      </c>
      <c r="E24" t="s">
        <v>42</v>
      </c>
      <c r="F24" s="1">
        <v>45982</v>
      </c>
      <c r="G24" t="s">
        <v>47</v>
      </c>
      <c r="H24" t="s">
        <v>21</v>
      </c>
      <c r="I24" t="s">
        <v>21</v>
      </c>
      <c r="J24" t="s">
        <v>21</v>
      </c>
      <c r="K24" t="s">
        <v>21</v>
      </c>
      <c r="L24" t="s">
        <v>21</v>
      </c>
      <c r="M24" t="s">
        <v>21</v>
      </c>
      <c r="N24" t="s">
        <v>21</v>
      </c>
      <c r="O24" t="s">
        <v>21</v>
      </c>
      <c r="P24" t="s">
        <v>21</v>
      </c>
      <c r="Q24" t="s">
        <v>21</v>
      </c>
      <c r="R24" t="s">
        <v>51</v>
      </c>
    </row>
    <row r="25" spans="1:18">
      <c r="A25">
        <v>22</v>
      </c>
      <c r="B25" s="2">
        <v>45985.93546296296</v>
      </c>
      <c r="C25" s="2">
        <v>45985.936481481483</v>
      </c>
      <c r="D25" t="s">
        <v>41</v>
      </c>
      <c r="E25" t="s">
        <v>42</v>
      </c>
      <c r="F25" s="1">
        <v>45985</v>
      </c>
      <c r="G25" t="s">
        <v>47</v>
      </c>
      <c r="H25" t="s">
        <v>30</v>
      </c>
      <c r="I25" t="s">
        <v>30</v>
      </c>
      <c r="J25" t="s">
        <v>21</v>
      </c>
      <c r="K25" t="s">
        <v>21</v>
      </c>
      <c r="L25" t="s">
        <v>21</v>
      </c>
      <c r="M25" t="s">
        <v>21</v>
      </c>
      <c r="N25" t="s">
        <v>21</v>
      </c>
      <c r="O25" t="s">
        <v>21</v>
      </c>
      <c r="P25" t="s">
        <v>30</v>
      </c>
      <c r="Q25" t="s">
        <v>21</v>
      </c>
      <c r="R25" t="s">
        <v>52</v>
      </c>
    </row>
    <row r="26" spans="1:18">
      <c r="A26">
        <v>25</v>
      </c>
      <c r="B26" s="2">
        <v>45987.941134259258</v>
      </c>
      <c r="C26" s="2">
        <v>45987.943356481483</v>
      </c>
      <c r="D26" t="s">
        <v>41</v>
      </c>
      <c r="E26" t="s">
        <v>42</v>
      </c>
      <c r="F26" s="1">
        <v>45986</v>
      </c>
      <c r="G26" t="s">
        <v>43</v>
      </c>
      <c r="H26" t="s">
        <v>21</v>
      </c>
      <c r="I26" t="s">
        <v>21</v>
      </c>
      <c r="J26" t="s">
        <v>21</v>
      </c>
      <c r="K26" t="s">
        <v>21</v>
      </c>
      <c r="L26" t="s">
        <v>21</v>
      </c>
      <c r="M26" t="s">
        <v>21</v>
      </c>
      <c r="N26" t="s">
        <v>21</v>
      </c>
      <c r="O26" t="s">
        <v>21</v>
      </c>
      <c r="P26" t="s">
        <v>30</v>
      </c>
      <c r="Q26" t="s">
        <v>21</v>
      </c>
      <c r="R26" t="s">
        <v>53</v>
      </c>
    </row>
    <row r="27" spans="1:18">
      <c r="A27">
        <v>26</v>
      </c>
      <c r="B27" s="2">
        <v>45987.943402777775</v>
      </c>
      <c r="C27" s="2">
        <v>45987.944328703707</v>
      </c>
      <c r="D27" t="s">
        <v>41</v>
      </c>
      <c r="E27" t="s">
        <v>42</v>
      </c>
      <c r="F27" s="1">
        <v>45987</v>
      </c>
      <c r="G27" t="s">
        <v>54</v>
      </c>
      <c r="H27" t="s">
        <v>21</v>
      </c>
      <c r="I27" t="s">
        <v>21</v>
      </c>
      <c r="J27" t="s">
        <v>21</v>
      </c>
      <c r="K27" t="s">
        <v>21</v>
      </c>
      <c r="L27" t="s">
        <v>21</v>
      </c>
      <c r="M27" t="s">
        <v>21</v>
      </c>
      <c r="N27" t="s">
        <v>21</v>
      </c>
      <c r="O27" t="s">
        <v>21</v>
      </c>
      <c r="P27" t="s">
        <v>30</v>
      </c>
      <c r="Q27" t="s">
        <v>21</v>
      </c>
      <c r="R27" t="s">
        <v>55</v>
      </c>
    </row>
    <row r="28" spans="1:18">
      <c r="A28">
        <v>27</v>
      </c>
      <c r="B28" s="2">
        <v>45993.085416666669</v>
      </c>
      <c r="C28" s="2">
        <v>45993.08699074074</v>
      </c>
      <c r="D28" t="s">
        <v>41</v>
      </c>
      <c r="E28" t="s">
        <v>42</v>
      </c>
      <c r="F28" s="1">
        <v>45992</v>
      </c>
      <c r="G28" t="s">
        <v>47</v>
      </c>
      <c r="H28" t="s">
        <v>21</v>
      </c>
      <c r="I28" t="s">
        <v>21</v>
      </c>
      <c r="J28" t="s">
        <v>21</v>
      </c>
      <c r="K28" t="s">
        <v>21</v>
      </c>
      <c r="L28" t="s">
        <v>21</v>
      </c>
      <c r="M28" t="s">
        <v>21</v>
      </c>
      <c r="N28" t="s">
        <v>21</v>
      </c>
      <c r="O28" t="s">
        <v>21</v>
      </c>
      <c r="P28" t="s">
        <v>30</v>
      </c>
      <c r="Q28" t="s">
        <v>21</v>
      </c>
      <c r="R28" t="s">
        <v>56</v>
      </c>
    </row>
    <row r="29" spans="1:18">
      <c r="A29">
        <v>29</v>
      </c>
      <c r="B29" s="2">
        <v>45993.994259259256</v>
      </c>
      <c r="C29" s="2">
        <v>45993.996157407404</v>
      </c>
      <c r="D29" t="s">
        <v>41</v>
      </c>
      <c r="E29" t="s">
        <v>42</v>
      </c>
      <c r="F29" s="1">
        <v>45993</v>
      </c>
      <c r="G29" t="s">
        <v>43</v>
      </c>
      <c r="H29" t="s">
        <v>21</v>
      </c>
      <c r="I29" t="s">
        <v>30</v>
      </c>
      <c r="J29" t="s">
        <v>21</v>
      </c>
      <c r="K29" t="s">
        <v>21</v>
      </c>
      <c r="L29" t="s">
        <v>21</v>
      </c>
      <c r="M29" t="s">
        <v>21</v>
      </c>
      <c r="N29" t="s">
        <v>21</v>
      </c>
      <c r="O29" t="s">
        <v>21</v>
      </c>
      <c r="P29" t="s">
        <v>30</v>
      </c>
      <c r="Q29" t="s">
        <v>21</v>
      </c>
      <c r="R29" t="s">
        <v>57</v>
      </c>
    </row>
    <row r="30" spans="1:18">
      <c r="A30">
        <v>32</v>
      </c>
      <c r="B30" s="2">
        <v>45995.060439814813</v>
      </c>
      <c r="C30" s="2">
        <v>45995.062048611115</v>
      </c>
      <c r="D30" t="s">
        <v>41</v>
      </c>
      <c r="E30" t="s">
        <v>42</v>
      </c>
      <c r="F30" s="1">
        <v>45994</v>
      </c>
      <c r="G30" t="s">
        <v>58</v>
      </c>
      <c r="H30" t="s">
        <v>21</v>
      </c>
      <c r="I30" t="s">
        <v>30</v>
      </c>
      <c r="J30" t="s">
        <v>21</v>
      </c>
      <c r="K30" t="s">
        <v>21</v>
      </c>
      <c r="L30" t="s">
        <v>21</v>
      </c>
      <c r="M30" t="s">
        <v>21</v>
      </c>
      <c r="N30" t="s">
        <v>21</v>
      </c>
      <c r="O30" t="s">
        <v>21</v>
      </c>
      <c r="P30" t="s">
        <v>30</v>
      </c>
      <c r="Q30" t="s">
        <v>21</v>
      </c>
      <c r="R30" t="s">
        <v>59</v>
      </c>
    </row>
    <row r="31" spans="1:18">
      <c r="A31">
        <v>38</v>
      </c>
      <c r="B31" s="2">
        <v>45996.002847222226</v>
      </c>
      <c r="C31" s="2">
        <v>45996.004212962966</v>
      </c>
      <c r="D31" t="s">
        <v>41</v>
      </c>
      <c r="E31" t="s">
        <v>42</v>
      </c>
      <c r="F31" s="1">
        <v>45995</v>
      </c>
      <c r="G31" t="s">
        <v>43</v>
      </c>
      <c r="H31" t="s">
        <v>21</v>
      </c>
      <c r="I31" t="s">
        <v>30</v>
      </c>
      <c r="J31" t="s">
        <v>30</v>
      </c>
      <c r="K31" t="s">
        <v>21</v>
      </c>
      <c r="L31" t="s">
        <v>21</v>
      </c>
      <c r="M31" t="s">
        <v>21</v>
      </c>
      <c r="N31" t="s">
        <v>21</v>
      </c>
      <c r="O31" t="s">
        <v>21</v>
      </c>
      <c r="Q31" t="s">
        <v>21</v>
      </c>
      <c r="R31" t="s">
        <v>60</v>
      </c>
    </row>
    <row r="32" spans="1:18">
      <c r="A32">
        <v>4</v>
      </c>
      <c r="B32" s="2">
        <v>45973.404976851853</v>
      </c>
      <c r="C32" s="2">
        <v>45973.405451388891</v>
      </c>
      <c r="D32" t="s">
        <v>61</v>
      </c>
      <c r="E32" t="s">
        <v>62</v>
      </c>
      <c r="F32" s="1">
        <v>45973</v>
      </c>
      <c r="G32" t="s">
        <v>63</v>
      </c>
      <c r="H32" t="s">
        <v>21</v>
      </c>
      <c r="I32" t="s">
        <v>30</v>
      </c>
      <c r="J32" t="s">
        <v>30</v>
      </c>
      <c r="K32" t="s">
        <v>21</v>
      </c>
      <c r="L32" t="s">
        <v>21</v>
      </c>
      <c r="M32" t="s">
        <v>21</v>
      </c>
      <c r="N32" t="s">
        <v>21</v>
      </c>
      <c r="O32" t="s">
        <v>21</v>
      </c>
      <c r="P32" t="s">
        <v>21</v>
      </c>
      <c r="Q32" t="s">
        <v>30</v>
      </c>
    </row>
    <row r="33" spans="1:18">
      <c r="A33">
        <v>5</v>
      </c>
      <c r="B33" s="2">
        <v>45973.405486111114</v>
      </c>
      <c r="C33" s="2">
        <v>45973.40587962963</v>
      </c>
      <c r="D33" t="s">
        <v>61</v>
      </c>
      <c r="E33" t="s">
        <v>62</v>
      </c>
      <c r="F33" s="1">
        <v>45973</v>
      </c>
      <c r="G33" t="s">
        <v>64</v>
      </c>
      <c r="H33" t="s">
        <v>21</v>
      </c>
      <c r="I33" t="s">
        <v>30</v>
      </c>
      <c r="J33" t="s">
        <v>21</v>
      </c>
      <c r="K33" t="s">
        <v>21</v>
      </c>
      <c r="L33" t="s">
        <v>21</v>
      </c>
      <c r="M33" t="s">
        <v>21</v>
      </c>
      <c r="N33" t="s">
        <v>21</v>
      </c>
      <c r="O33" t="s">
        <v>21</v>
      </c>
      <c r="P33" t="s">
        <v>21</v>
      </c>
      <c r="Q33" t="s">
        <v>30</v>
      </c>
    </row>
    <row r="34" spans="1:18">
      <c r="A34">
        <v>8</v>
      </c>
      <c r="B34" s="2">
        <v>45978.351805555554</v>
      </c>
      <c r="C34" s="2">
        <v>45978.352233796293</v>
      </c>
      <c r="D34" t="s">
        <v>61</v>
      </c>
      <c r="E34" t="s">
        <v>62</v>
      </c>
      <c r="F34" s="1">
        <v>45978</v>
      </c>
      <c r="G34" t="s">
        <v>63</v>
      </c>
      <c r="H34" t="s">
        <v>21</v>
      </c>
      <c r="I34" t="s">
        <v>21</v>
      </c>
      <c r="J34" t="s">
        <v>21</v>
      </c>
      <c r="K34" t="s">
        <v>21</v>
      </c>
      <c r="L34" t="s">
        <v>21</v>
      </c>
      <c r="M34" t="s">
        <v>21</v>
      </c>
      <c r="N34" t="s">
        <v>21</v>
      </c>
      <c r="O34" t="s">
        <v>21</v>
      </c>
      <c r="P34" t="s">
        <v>30</v>
      </c>
      <c r="Q34" t="s">
        <v>21</v>
      </c>
    </row>
    <row r="35" spans="1:18">
      <c r="A35">
        <v>9</v>
      </c>
      <c r="B35" s="2">
        <v>45978.352256944447</v>
      </c>
      <c r="C35" s="2">
        <v>45978.35255787037</v>
      </c>
      <c r="D35" t="s">
        <v>61</v>
      </c>
      <c r="E35" t="s">
        <v>62</v>
      </c>
      <c r="F35" s="1">
        <v>45978</v>
      </c>
      <c r="G35" t="s">
        <v>64</v>
      </c>
      <c r="H35" t="s">
        <v>21</v>
      </c>
      <c r="I35" t="s">
        <v>30</v>
      </c>
      <c r="J35" t="s">
        <v>21</v>
      </c>
      <c r="K35" t="s">
        <v>21</v>
      </c>
      <c r="L35" t="s">
        <v>21</v>
      </c>
      <c r="M35" t="s">
        <v>21</v>
      </c>
      <c r="N35" t="s">
        <v>21</v>
      </c>
      <c r="O35" t="s">
        <v>21</v>
      </c>
      <c r="P35" t="s">
        <v>21</v>
      </c>
      <c r="Q35" t="s">
        <v>21</v>
      </c>
    </row>
    <row r="36" spans="1:18">
      <c r="A36">
        <v>10</v>
      </c>
      <c r="B36" s="2">
        <v>45979.253252314818</v>
      </c>
      <c r="C36" s="2">
        <v>45979.255046296297</v>
      </c>
      <c r="D36" t="s">
        <v>61</v>
      </c>
      <c r="E36" t="s">
        <v>62</v>
      </c>
      <c r="F36" s="1">
        <v>45979</v>
      </c>
      <c r="G36" t="s">
        <v>63</v>
      </c>
      <c r="H36" t="s">
        <v>21</v>
      </c>
      <c r="I36" t="s">
        <v>21</v>
      </c>
      <c r="J36" t="s">
        <v>21</v>
      </c>
      <c r="K36" t="s">
        <v>21</v>
      </c>
      <c r="L36" t="s">
        <v>21</v>
      </c>
      <c r="M36" t="s">
        <v>21</v>
      </c>
      <c r="N36" t="s">
        <v>21</v>
      </c>
      <c r="O36" t="s">
        <v>21</v>
      </c>
      <c r="P36" t="s">
        <v>21</v>
      </c>
      <c r="Q36" t="s">
        <v>30</v>
      </c>
    </row>
    <row r="37" spans="1:18">
      <c r="A37">
        <v>13</v>
      </c>
      <c r="B37" s="2">
        <v>45979.255104166667</v>
      </c>
      <c r="C37" s="2">
        <v>45980.24895833333</v>
      </c>
      <c r="D37" t="s">
        <v>61</v>
      </c>
      <c r="E37" t="s">
        <v>62</v>
      </c>
      <c r="F37" s="1">
        <v>45979</v>
      </c>
      <c r="G37" t="s">
        <v>63</v>
      </c>
      <c r="H37" t="s">
        <v>21</v>
      </c>
      <c r="I37" t="s">
        <v>21</v>
      </c>
      <c r="J37" t="s">
        <v>30</v>
      </c>
      <c r="K37" t="s">
        <v>21</v>
      </c>
      <c r="L37" t="s">
        <v>21</v>
      </c>
      <c r="M37" t="s">
        <v>21</v>
      </c>
      <c r="N37" t="s">
        <v>21</v>
      </c>
      <c r="O37" t="s">
        <v>21</v>
      </c>
      <c r="P37" t="s">
        <v>21</v>
      </c>
      <c r="Q37" t="s">
        <v>30</v>
      </c>
    </row>
    <row r="38" spans="1:18">
      <c r="A38">
        <v>18</v>
      </c>
      <c r="B38" s="2">
        <v>45982.453668981485</v>
      </c>
      <c r="C38" s="2">
        <v>45982.454571759263</v>
      </c>
      <c r="D38" t="s">
        <v>61</v>
      </c>
      <c r="E38" t="s">
        <v>62</v>
      </c>
      <c r="F38" s="1">
        <v>45982</v>
      </c>
      <c r="G38" t="s">
        <v>63</v>
      </c>
      <c r="H38" t="s">
        <v>21</v>
      </c>
      <c r="I38" t="s">
        <v>30</v>
      </c>
      <c r="J38" t="s">
        <v>30</v>
      </c>
      <c r="K38" t="s">
        <v>21</v>
      </c>
      <c r="L38" t="s">
        <v>21</v>
      </c>
      <c r="M38" t="s">
        <v>21</v>
      </c>
      <c r="N38" t="s">
        <v>21</v>
      </c>
      <c r="O38" t="s">
        <v>21</v>
      </c>
      <c r="P38" t="s">
        <v>21</v>
      </c>
      <c r="Q38" t="s">
        <v>21</v>
      </c>
    </row>
    <row r="39" spans="1:18">
      <c r="A39">
        <v>19</v>
      </c>
      <c r="B39" s="2">
        <v>45982.454594907409</v>
      </c>
      <c r="C39" s="2">
        <v>45982.455277777779</v>
      </c>
      <c r="D39" t="s">
        <v>61</v>
      </c>
      <c r="E39" t="s">
        <v>62</v>
      </c>
      <c r="F39" s="1">
        <v>45982</v>
      </c>
      <c r="G39" t="s">
        <v>64</v>
      </c>
      <c r="H39" t="s">
        <v>21</v>
      </c>
      <c r="I39" t="s">
        <v>30</v>
      </c>
      <c r="J39" t="s">
        <v>30</v>
      </c>
      <c r="K39" t="s">
        <v>21</v>
      </c>
      <c r="L39" t="s">
        <v>21</v>
      </c>
      <c r="M39" t="s">
        <v>21</v>
      </c>
      <c r="N39" t="s">
        <v>21</v>
      </c>
      <c r="O39" t="s">
        <v>21</v>
      </c>
      <c r="P39" t="s">
        <v>21</v>
      </c>
      <c r="Q39" t="s">
        <v>21</v>
      </c>
    </row>
    <row r="40" spans="1:18">
      <c r="A40">
        <v>20</v>
      </c>
      <c r="B40" s="2">
        <v>45985.286736111113</v>
      </c>
      <c r="C40" s="2">
        <v>45985.287407407406</v>
      </c>
      <c r="D40" t="s">
        <v>61</v>
      </c>
      <c r="E40" t="s">
        <v>62</v>
      </c>
      <c r="F40" s="1">
        <v>45985</v>
      </c>
      <c r="G40" t="s">
        <v>63</v>
      </c>
      <c r="H40" t="s">
        <v>21</v>
      </c>
      <c r="I40" t="s">
        <v>30</v>
      </c>
      <c r="J40" t="s">
        <v>30</v>
      </c>
      <c r="K40" t="s">
        <v>21</v>
      </c>
      <c r="L40" t="s">
        <v>21</v>
      </c>
      <c r="M40" t="s">
        <v>21</v>
      </c>
      <c r="N40" t="s">
        <v>21</v>
      </c>
      <c r="O40" t="s">
        <v>21</v>
      </c>
      <c r="P40" t="s">
        <v>21</v>
      </c>
      <c r="Q40" t="s">
        <v>21</v>
      </c>
      <c r="R40" t="s">
        <v>65</v>
      </c>
    </row>
    <row r="41" spans="1:18">
      <c r="A41">
        <v>23</v>
      </c>
      <c r="B41" s="2">
        <v>45986.252337962964</v>
      </c>
      <c r="C41" s="2">
        <v>45986.252662037034</v>
      </c>
      <c r="D41" t="s">
        <v>61</v>
      </c>
      <c r="E41" t="s">
        <v>62</v>
      </c>
      <c r="F41" s="1">
        <v>45986</v>
      </c>
      <c r="G41" t="s">
        <v>66</v>
      </c>
      <c r="H41" t="s">
        <v>21</v>
      </c>
      <c r="I41" t="s">
        <v>21</v>
      </c>
      <c r="J41" t="s">
        <v>30</v>
      </c>
      <c r="K41" t="s">
        <v>21</v>
      </c>
      <c r="L41" t="s">
        <v>21</v>
      </c>
      <c r="M41" t="s">
        <v>21</v>
      </c>
      <c r="N41" t="s">
        <v>21</v>
      </c>
      <c r="O41" t="s">
        <v>21</v>
      </c>
      <c r="P41" t="s">
        <v>21</v>
      </c>
      <c r="Q41" t="s">
        <v>21</v>
      </c>
    </row>
    <row r="42" spans="1:18">
      <c r="A42">
        <v>24</v>
      </c>
      <c r="B42" s="2">
        <v>45986.252708333333</v>
      </c>
      <c r="C42" s="2">
        <v>45986.253101851849</v>
      </c>
      <c r="D42" t="s">
        <v>61</v>
      </c>
      <c r="E42" t="s">
        <v>62</v>
      </c>
      <c r="F42" s="1">
        <v>45986</v>
      </c>
      <c r="G42" t="s">
        <v>67</v>
      </c>
      <c r="H42" t="s">
        <v>21</v>
      </c>
      <c r="I42" t="s">
        <v>30</v>
      </c>
      <c r="J42" t="s">
        <v>21</v>
      </c>
      <c r="K42" t="s">
        <v>21</v>
      </c>
      <c r="L42" t="s">
        <v>21</v>
      </c>
      <c r="M42" t="s">
        <v>21</v>
      </c>
      <c r="N42" t="s">
        <v>21</v>
      </c>
      <c r="O42" t="s">
        <v>21</v>
      </c>
      <c r="P42" t="s">
        <v>21</v>
      </c>
      <c r="Q42" t="s">
        <v>21</v>
      </c>
    </row>
    <row r="43" spans="1:18">
      <c r="A43">
        <v>30</v>
      </c>
      <c r="B43" s="2">
        <v>45994.310231481482</v>
      </c>
      <c r="C43" s="2">
        <v>45994.310543981483</v>
      </c>
      <c r="D43" t="s">
        <v>61</v>
      </c>
      <c r="E43" t="s">
        <v>62</v>
      </c>
      <c r="F43" s="1">
        <v>45994</v>
      </c>
      <c r="G43" t="s">
        <v>63</v>
      </c>
      <c r="H43" t="s">
        <v>21</v>
      </c>
      <c r="I43" t="s">
        <v>21</v>
      </c>
      <c r="J43" t="s">
        <v>21</v>
      </c>
      <c r="K43" t="s">
        <v>21</v>
      </c>
      <c r="L43" t="s">
        <v>21</v>
      </c>
      <c r="M43" t="s">
        <v>21</v>
      </c>
      <c r="N43" t="s">
        <v>21</v>
      </c>
      <c r="O43" t="s">
        <v>21</v>
      </c>
      <c r="P43" t="s">
        <v>21</v>
      </c>
      <c r="Q43" t="s">
        <v>21</v>
      </c>
      <c r="R43" t="s">
        <v>68</v>
      </c>
    </row>
    <row r="44" spans="1:18">
      <c r="A44">
        <v>31</v>
      </c>
      <c r="B44" s="2">
        <v>45994.310590277775</v>
      </c>
      <c r="C44" s="2">
        <v>45994.310972222222</v>
      </c>
      <c r="D44" t="s">
        <v>61</v>
      </c>
      <c r="E44" t="s">
        <v>62</v>
      </c>
      <c r="F44" s="1">
        <v>45994</v>
      </c>
      <c r="G44" t="s">
        <v>69</v>
      </c>
      <c r="H44" t="s">
        <v>21</v>
      </c>
      <c r="I44" t="s">
        <v>30</v>
      </c>
      <c r="J44" t="s">
        <v>21</v>
      </c>
      <c r="K44" t="s">
        <v>21</v>
      </c>
      <c r="L44" t="s">
        <v>21</v>
      </c>
      <c r="M44" t="s">
        <v>21</v>
      </c>
      <c r="N44" t="s">
        <v>21</v>
      </c>
      <c r="O44" t="s">
        <v>21</v>
      </c>
      <c r="P44" t="s">
        <v>21</v>
      </c>
      <c r="Q44" t="s">
        <v>21</v>
      </c>
      <c r="R44" t="s">
        <v>70</v>
      </c>
    </row>
    <row r="45" spans="1:18">
      <c r="A45">
        <v>33</v>
      </c>
      <c r="B45" s="2">
        <v>45995.222673611112</v>
      </c>
      <c r="C45" s="2">
        <v>45995.22320601852</v>
      </c>
      <c r="D45" t="s">
        <v>61</v>
      </c>
      <c r="E45" t="s">
        <v>62</v>
      </c>
      <c r="F45" s="1">
        <v>45995</v>
      </c>
      <c r="G45" t="s">
        <v>63</v>
      </c>
      <c r="H45" t="s">
        <v>21</v>
      </c>
      <c r="I45" t="s">
        <v>30</v>
      </c>
      <c r="J45" t="s">
        <v>21</v>
      </c>
      <c r="K45" t="s">
        <v>21</v>
      </c>
      <c r="L45" t="s">
        <v>21</v>
      </c>
      <c r="M45" t="s">
        <v>21</v>
      </c>
      <c r="N45" t="s">
        <v>21</v>
      </c>
      <c r="O45" t="s">
        <v>21</v>
      </c>
      <c r="P45" t="s">
        <v>21</v>
      </c>
      <c r="Q45" t="s">
        <v>21</v>
      </c>
      <c r="R45" t="s">
        <v>71</v>
      </c>
    </row>
    <row r="46" spans="1:18">
      <c r="A46">
        <v>34</v>
      </c>
      <c r="B46" s="2">
        <v>45995.477777777778</v>
      </c>
      <c r="C46" s="2">
        <v>45995.480370370373</v>
      </c>
      <c r="D46" t="s">
        <v>72</v>
      </c>
      <c r="E46" t="s">
        <v>73</v>
      </c>
      <c r="F46" s="1">
        <v>45994</v>
      </c>
      <c r="G46" t="s">
        <v>40</v>
      </c>
      <c r="H46" t="s">
        <v>21</v>
      </c>
      <c r="I46" t="s">
        <v>30</v>
      </c>
      <c r="J46" t="s">
        <v>30</v>
      </c>
      <c r="K46" t="s">
        <v>37</v>
      </c>
      <c r="L46" t="s">
        <v>21</v>
      </c>
      <c r="M46" t="s">
        <v>21</v>
      </c>
      <c r="N46" t="s">
        <v>21</v>
      </c>
      <c r="O46" t="s">
        <v>30</v>
      </c>
      <c r="P46" t="s">
        <v>30</v>
      </c>
      <c r="Q46" t="s">
        <v>21</v>
      </c>
    </row>
    <row r="47" spans="1:18">
      <c r="A47">
        <v>35</v>
      </c>
      <c r="B47" s="2">
        <v>45995.480416666665</v>
      </c>
      <c r="C47" s="2">
        <v>45995.48164351852</v>
      </c>
      <c r="D47" t="s">
        <v>72</v>
      </c>
      <c r="E47" t="s">
        <v>73</v>
      </c>
      <c r="F47" s="1">
        <v>45994</v>
      </c>
      <c r="G47" t="s">
        <v>74</v>
      </c>
      <c r="H47" t="s">
        <v>21</v>
      </c>
      <c r="I47" t="s">
        <v>30</v>
      </c>
      <c r="J47" t="s">
        <v>30</v>
      </c>
      <c r="K47" t="s">
        <v>37</v>
      </c>
      <c r="L47" t="s">
        <v>21</v>
      </c>
      <c r="M47" t="s">
        <v>21</v>
      </c>
      <c r="N47" t="s">
        <v>21</v>
      </c>
      <c r="O47" t="s">
        <v>30</v>
      </c>
      <c r="P47" t="s">
        <v>30</v>
      </c>
      <c r="Q47" t="s">
        <v>21</v>
      </c>
    </row>
    <row r="48" spans="1:18">
      <c r="A48">
        <v>36</v>
      </c>
      <c r="B48" s="2">
        <v>45995.480752314812</v>
      </c>
      <c r="C48" s="2">
        <v>45995.483761574076</v>
      </c>
      <c r="D48" t="s">
        <v>75</v>
      </c>
      <c r="E48" t="s">
        <v>76</v>
      </c>
      <c r="F48" s="1">
        <v>45994</v>
      </c>
      <c r="G48" t="s">
        <v>77</v>
      </c>
      <c r="H48" t="s">
        <v>21</v>
      </c>
      <c r="I48" t="s">
        <v>30</v>
      </c>
      <c r="J48" t="s">
        <v>30</v>
      </c>
      <c r="K48" t="s">
        <v>21</v>
      </c>
      <c r="L48" t="s">
        <v>21</v>
      </c>
      <c r="M48" t="s">
        <v>21</v>
      </c>
      <c r="N48" t="s">
        <v>21</v>
      </c>
      <c r="O48" t="s">
        <v>30</v>
      </c>
      <c r="P48" t="s">
        <v>30</v>
      </c>
      <c r="Q48" t="s">
        <v>21</v>
      </c>
    </row>
    <row r="49" spans="4:18">
      <c r="D49" s="16"/>
      <c r="E49" s="16"/>
      <c r="G49" s="16"/>
      <c r="H49" s="17">
        <f>COUNTIF(H2:H48,"yes")/COUNTA(H2:H48)*100</f>
        <v>84.782608695652172</v>
      </c>
      <c r="I49" s="17">
        <f t="shared" ref="I49:L49" si="0">COUNTIF(I2:I48,"yes")/COUNTA(I2:I48)*100</f>
        <v>44.680851063829785</v>
      </c>
      <c r="J49" s="17">
        <f t="shared" si="0"/>
        <v>63.829787234042556</v>
      </c>
      <c r="K49" s="17">
        <f t="shared" si="0"/>
        <v>80.851063829787222</v>
      </c>
      <c r="L49" s="17">
        <f t="shared" si="0"/>
        <v>95.744680851063833</v>
      </c>
      <c r="M49" s="17">
        <f t="shared" ref="M49" si="1">COUNTIF(M2:M48,"yes")/COUNTA(M2:M48)*100</f>
        <v>95.652173913043484</v>
      </c>
      <c r="N49" s="17">
        <f t="shared" ref="N49" si="2">COUNTIF(N2:N48,"yes")/COUNTA(N2:N48)*100</f>
        <v>78.723404255319153</v>
      </c>
      <c r="O49" s="17">
        <f t="shared" ref="O49:P49" si="3">COUNTIF(O2:O48,"yes")/COUNTA(O2:O48)*100</f>
        <v>87.2340425531915</v>
      </c>
      <c r="P49" s="17">
        <f t="shared" si="3"/>
        <v>48.888888888888886</v>
      </c>
      <c r="Q49" s="17">
        <f t="shared" ref="Q49" si="4">COUNTIF(Q2:Q48,"yes")/COUNTA(Q2:Q48)*100</f>
        <v>67.391304347826093</v>
      </c>
      <c r="R49" s="16"/>
    </row>
    <row r="55" spans="4:18">
      <c r="D55">
        <f>COUNTIF(A2:A100,"yes")/COUNTA(A2:A100)</f>
        <v>0</v>
      </c>
    </row>
    <row r="56" spans="4:18">
      <c r="E56">
        <f>COUNTIF(A2:A100,"yes")/COUNTA(A2:A100)</f>
        <v>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60455-08AF-4D9C-81CE-74A7E8952EA8}">
  <dimension ref="A1:R14"/>
  <sheetViews>
    <sheetView workbookViewId="0">
      <selection activeCell="H1" sqref="H1"/>
    </sheetView>
  </sheetViews>
  <sheetFormatPr defaultRowHeight="15"/>
  <cols>
    <col min="2" max="2" width="22" hidden="1" customWidth="1"/>
    <col min="3" max="3" width="16.5703125" hidden="1" customWidth="1"/>
    <col min="4" max="4" width="0" hidden="1" customWidth="1"/>
    <col min="5" max="5" width="17" customWidth="1"/>
    <col min="6" max="6" width="19.28515625" customWidth="1"/>
    <col min="7" max="7" width="14.140625" customWidth="1"/>
    <col min="8" max="8" width="27.42578125" customWidth="1"/>
    <col min="9" max="9" width="20.7109375" customWidth="1"/>
    <col min="10" max="10" width="15.140625" customWidth="1"/>
  </cols>
  <sheetData>
    <row r="1" spans="1:18">
      <c r="A1" s="13"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5" t="s">
        <v>17</v>
      </c>
    </row>
    <row r="2" spans="1:18">
      <c r="A2" s="3"/>
      <c r="B2" s="4"/>
      <c r="C2" s="4"/>
      <c r="D2" s="5"/>
      <c r="E2" s="5"/>
      <c r="F2" s="6"/>
      <c r="G2" s="5"/>
      <c r="H2" s="5"/>
      <c r="I2" s="5"/>
      <c r="J2" s="5"/>
      <c r="K2" s="5"/>
      <c r="L2" s="5"/>
      <c r="M2" s="5"/>
      <c r="N2" s="5"/>
      <c r="O2" s="5"/>
      <c r="P2" s="5"/>
      <c r="Q2" s="5"/>
      <c r="R2" s="7"/>
    </row>
    <row r="3" spans="1:18">
      <c r="A3" s="8">
        <v>27</v>
      </c>
      <c r="B3" s="9">
        <v>45993.085416666669</v>
      </c>
      <c r="C3" s="9">
        <v>45993.08699074074</v>
      </c>
      <c r="D3" s="10" t="s">
        <v>41</v>
      </c>
      <c r="E3" s="10" t="s">
        <v>42</v>
      </c>
      <c r="F3" s="11">
        <v>45992</v>
      </c>
      <c r="G3" s="10" t="s">
        <v>47</v>
      </c>
      <c r="H3" s="10" t="s">
        <v>21</v>
      </c>
      <c r="I3" s="10" t="s">
        <v>21</v>
      </c>
      <c r="J3" s="10" t="s">
        <v>21</v>
      </c>
      <c r="K3" s="10" t="s">
        <v>21</v>
      </c>
      <c r="L3" s="10" t="s">
        <v>21</v>
      </c>
      <c r="M3" s="10" t="s">
        <v>21</v>
      </c>
      <c r="N3" s="10" t="s">
        <v>21</v>
      </c>
      <c r="O3" s="10" t="s">
        <v>21</v>
      </c>
      <c r="P3" s="10" t="s">
        <v>30</v>
      </c>
      <c r="Q3" s="10" t="s">
        <v>21</v>
      </c>
      <c r="R3" s="12" t="s">
        <v>56</v>
      </c>
    </row>
    <row r="4" spans="1:18">
      <c r="A4" s="3">
        <v>29</v>
      </c>
      <c r="B4" s="4">
        <v>45993.994259259256</v>
      </c>
      <c r="C4" s="4">
        <v>45993.996157407404</v>
      </c>
      <c r="D4" s="5" t="s">
        <v>41</v>
      </c>
      <c r="E4" s="5" t="s">
        <v>42</v>
      </c>
      <c r="F4" s="6">
        <v>45993</v>
      </c>
      <c r="G4" s="5" t="s">
        <v>43</v>
      </c>
      <c r="H4" s="5" t="s">
        <v>21</v>
      </c>
      <c r="I4" s="5" t="s">
        <v>30</v>
      </c>
      <c r="J4" s="5" t="s">
        <v>21</v>
      </c>
      <c r="K4" s="5" t="s">
        <v>21</v>
      </c>
      <c r="L4" s="5" t="s">
        <v>21</v>
      </c>
      <c r="M4" s="5" t="s">
        <v>21</v>
      </c>
      <c r="N4" s="5" t="s">
        <v>21</v>
      </c>
      <c r="O4" s="5" t="s">
        <v>21</v>
      </c>
      <c r="P4" s="5" t="s">
        <v>30</v>
      </c>
      <c r="Q4" s="5" t="s">
        <v>21</v>
      </c>
      <c r="R4" s="7" t="s">
        <v>57</v>
      </c>
    </row>
    <row r="5" spans="1:18">
      <c r="A5" s="8">
        <v>28</v>
      </c>
      <c r="B5" s="9">
        <v>45993.510729166665</v>
      </c>
      <c r="C5" s="9">
        <v>45993.512499999997</v>
      </c>
      <c r="D5" s="10" t="s">
        <v>27</v>
      </c>
      <c r="E5" s="10" t="s">
        <v>28</v>
      </c>
      <c r="F5" s="11">
        <v>45993</v>
      </c>
      <c r="G5" s="10" t="s">
        <v>34</v>
      </c>
      <c r="H5" s="10" t="s">
        <v>30</v>
      </c>
      <c r="I5" s="10" t="s">
        <v>30</v>
      </c>
      <c r="J5" s="10" t="s">
        <v>30</v>
      </c>
      <c r="K5" s="10" t="s">
        <v>21</v>
      </c>
      <c r="L5" s="10" t="s">
        <v>21</v>
      </c>
      <c r="M5" s="10" t="s">
        <v>21</v>
      </c>
      <c r="N5" s="10" t="s">
        <v>30</v>
      </c>
      <c r="O5" s="10" t="s">
        <v>21</v>
      </c>
      <c r="P5" s="10" t="s">
        <v>30</v>
      </c>
      <c r="Q5" s="10" t="s">
        <v>30</v>
      </c>
      <c r="R5" s="12"/>
    </row>
    <row r="6" spans="1:18">
      <c r="A6" s="3">
        <v>32</v>
      </c>
      <c r="B6" s="4">
        <v>45995.060439814813</v>
      </c>
      <c r="C6" s="4">
        <v>45995.062048611115</v>
      </c>
      <c r="D6" s="5" t="s">
        <v>41</v>
      </c>
      <c r="E6" s="5" t="s">
        <v>42</v>
      </c>
      <c r="F6" s="6">
        <v>45994</v>
      </c>
      <c r="G6" s="5" t="s">
        <v>58</v>
      </c>
      <c r="H6" s="5" t="s">
        <v>21</v>
      </c>
      <c r="I6" s="5" t="s">
        <v>30</v>
      </c>
      <c r="J6" s="5" t="s">
        <v>21</v>
      </c>
      <c r="K6" s="5" t="s">
        <v>21</v>
      </c>
      <c r="L6" s="5" t="s">
        <v>21</v>
      </c>
      <c r="M6" s="5" t="s">
        <v>21</v>
      </c>
      <c r="N6" s="5" t="s">
        <v>21</v>
      </c>
      <c r="O6" s="5" t="s">
        <v>21</v>
      </c>
      <c r="P6" s="5" t="s">
        <v>30</v>
      </c>
      <c r="Q6" s="5" t="s">
        <v>21</v>
      </c>
      <c r="R6" s="7" t="s">
        <v>59</v>
      </c>
    </row>
    <row r="7" spans="1:18">
      <c r="A7" s="8">
        <v>35</v>
      </c>
      <c r="B7" s="9">
        <v>45995.480416666665</v>
      </c>
      <c r="C7" s="9">
        <v>45995.48164351852</v>
      </c>
      <c r="D7" s="10" t="s">
        <v>72</v>
      </c>
      <c r="E7" s="10" t="s">
        <v>73</v>
      </c>
      <c r="F7" s="11">
        <v>45994</v>
      </c>
      <c r="G7" s="10" t="s">
        <v>74</v>
      </c>
      <c r="H7" s="10" t="s">
        <v>21</v>
      </c>
      <c r="I7" s="10" t="s">
        <v>30</v>
      </c>
      <c r="J7" s="10" t="s">
        <v>30</v>
      </c>
      <c r="K7" s="10" t="s">
        <v>37</v>
      </c>
      <c r="L7" s="10" t="s">
        <v>21</v>
      </c>
      <c r="M7" s="10" t="s">
        <v>21</v>
      </c>
      <c r="N7" s="10" t="s">
        <v>21</v>
      </c>
      <c r="O7" s="10" t="s">
        <v>30</v>
      </c>
      <c r="P7" s="10" t="s">
        <v>30</v>
      </c>
      <c r="Q7" s="10" t="s">
        <v>21</v>
      </c>
      <c r="R7" s="12"/>
    </row>
    <row r="8" spans="1:18">
      <c r="A8" s="3">
        <v>30</v>
      </c>
      <c r="B8" s="4">
        <v>45994.310231481482</v>
      </c>
      <c r="C8" s="4">
        <v>45994.310543981483</v>
      </c>
      <c r="D8" s="5" t="s">
        <v>61</v>
      </c>
      <c r="E8" s="5" t="s">
        <v>62</v>
      </c>
      <c r="F8" s="6">
        <v>45994</v>
      </c>
      <c r="G8" s="5" t="s">
        <v>63</v>
      </c>
      <c r="H8" s="5" t="s">
        <v>21</v>
      </c>
      <c r="I8" s="5" t="s">
        <v>21</v>
      </c>
      <c r="J8" s="5" t="s">
        <v>21</v>
      </c>
      <c r="K8" s="5" t="s">
        <v>21</v>
      </c>
      <c r="L8" s="5" t="s">
        <v>21</v>
      </c>
      <c r="M8" s="5" t="s">
        <v>21</v>
      </c>
      <c r="N8" s="5" t="s">
        <v>21</v>
      </c>
      <c r="O8" s="5" t="s">
        <v>21</v>
      </c>
      <c r="P8" s="5" t="s">
        <v>21</v>
      </c>
      <c r="Q8" s="5" t="s">
        <v>21</v>
      </c>
      <c r="R8" s="7" t="s">
        <v>68</v>
      </c>
    </row>
    <row r="9" spans="1:18">
      <c r="A9" s="8">
        <v>34</v>
      </c>
      <c r="B9" s="9">
        <v>45995.477777777778</v>
      </c>
      <c r="C9" s="9">
        <v>45995.480370370373</v>
      </c>
      <c r="D9" s="10" t="s">
        <v>72</v>
      </c>
      <c r="E9" s="10" t="s">
        <v>73</v>
      </c>
      <c r="F9" s="11">
        <v>45994</v>
      </c>
      <c r="G9" s="10" t="s">
        <v>40</v>
      </c>
      <c r="H9" s="10" t="s">
        <v>21</v>
      </c>
      <c r="I9" s="10" t="s">
        <v>30</v>
      </c>
      <c r="J9" s="10" t="s">
        <v>30</v>
      </c>
      <c r="K9" s="10" t="s">
        <v>37</v>
      </c>
      <c r="L9" s="10" t="s">
        <v>21</v>
      </c>
      <c r="M9" s="10" t="s">
        <v>21</v>
      </c>
      <c r="N9" s="10" t="s">
        <v>21</v>
      </c>
      <c r="O9" s="10" t="s">
        <v>30</v>
      </c>
      <c r="P9" s="10" t="s">
        <v>30</v>
      </c>
      <c r="Q9" s="10" t="s">
        <v>21</v>
      </c>
      <c r="R9" s="12"/>
    </row>
    <row r="10" spans="1:18">
      <c r="A10" s="3">
        <v>31</v>
      </c>
      <c r="B10" s="4">
        <v>45994.310590277775</v>
      </c>
      <c r="C10" s="4">
        <v>45994.310972222222</v>
      </c>
      <c r="D10" s="5" t="s">
        <v>61</v>
      </c>
      <c r="E10" s="5" t="s">
        <v>62</v>
      </c>
      <c r="F10" s="6">
        <v>45994</v>
      </c>
      <c r="G10" s="5" t="s">
        <v>69</v>
      </c>
      <c r="H10" s="5" t="s">
        <v>21</v>
      </c>
      <c r="I10" s="5" t="s">
        <v>30</v>
      </c>
      <c r="J10" s="5" t="s">
        <v>21</v>
      </c>
      <c r="K10" s="5" t="s">
        <v>21</v>
      </c>
      <c r="L10" s="5" t="s">
        <v>21</v>
      </c>
      <c r="M10" s="5" t="s">
        <v>21</v>
      </c>
      <c r="N10" s="5" t="s">
        <v>21</v>
      </c>
      <c r="O10" s="5" t="s">
        <v>21</v>
      </c>
      <c r="P10" s="5" t="s">
        <v>21</v>
      </c>
      <c r="Q10" s="5" t="s">
        <v>21</v>
      </c>
      <c r="R10" s="7" t="s">
        <v>70</v>
      </c>
    </row>
    <row r="11" spans="1:18">
      <c r="A11" s="8">
        <v>36</v>
      </c>
      <c r="B11" s="9">
        <v>45995.480752314812</v>
      </c>
      <c r="C11" s="9">
        <v>45995.483761574076</v>
      </c>
      <c r="D11" s="10" t="s">
        <v>75</v>
      </c>
      <c r="E11" s="10" t="s">
        <v>76</v>
      </c>
      <c r="F11" s="11">
        <v>45994</v>
      </c>
      <c r="G11" s="10" t="s">
        <v>77</v>
      </c>
      <c r="H11" s="10" t="s">
        <v>21</v>
      </c>
      <c r="I11" s="10" t="s">
        <v>30</v>
      </c>
      <c r="J11" s="10" t="s">
        <v>30</v>
      </c>
      <c r="K11" s="10" t="s">
        <v>21</v>
      </c>
      <c r="L11" s="10" t="s">
        <v>21</v>
      </c>
      <c r="M11" s="10" t="s">
        <v>21</v>
      </c>
      <c r="N11" s="10" t="s">
        <v>21</v>
      </c>
      <c r="O11" s="10" t="s">
        <v>30</v>
      </c>
      <c r="P11" s="10" t="s">
        <v>30</v>
      </c>
      <c r="Q11" s="10" t="s">
        <v>21</v>
      </c>
      <c r="R11" s="12"/>
    </row>
    <row r="12" spans="1:18">
      <c r="A12" s="3">
        <v>38</v>
      </c>
      <c r="B12" s="4">
        <v>45996.002847222226</v>
      </c>
      <c r="C12" s="4">
        <v>45996.004212962966</v>
      </c>
      <c r="D12" s="5" t="s">
        <v>41</v>
      </c>
      <c r="E12" s="5" t="s">
        <v>42</v>
      </c>
      <c r="F12" s="6">
        <v>45995</v>
      </c>
      <c r="G12" s="5" t="s">
        <v>43</v>
      </c>
      <c r="H12" s="5" t="s">
        <v>21</v>
      </c>
      <c r="I12" s="5" t="s">
        <v>30</v>
      </c>
      <c r="J12" s="5" t="s">
        <v>30</v>
      </c>
      <c r="K12" s="5" t="s">
        <v>21</v>
      </c>
      <c r="L12" s="5" t="s">
        <v>21</v>
      </c>
      <c r="M12" s="5" t="s">
        <v>21</v>
      </c>
      <c r="N12" s="5" t="s">
        <v>21</v>
      </c>
      <c r="O12" s="5" t="s">
        <v>21</v>
      </c>
      <c r="P12" s="5"/>
      <c r="Q12" s="5" t="s">
        <v>21</v>
      </c>
      <c r="R12" s="7" t="s">
        <v>60</v>
      </c>
    </row>
    <row r="13" spans="1:18">
      <c r="A13" s="8">
        <v>33</v>
      </c>
      <c r="B13" s="9">
        <v>45995.222673611112</v>
      </c>
      <c r="C13" s="9">
        <v>45995.22320601852</v>
      </c>
      <c r="D13" s="10" t="s">
        <v>61</v>
      </c>
      <c r="E13" s="10" t="s">
        <v>62</v>
      </c>
      <c r="F13" s="11">
        <v>45995</v>
      </c>
      <c r="G13" s="10" t="s">
        <v>63</v>
      </c>
      <c r="H13" s="10" t="s">
        <v>21</v>
      </c>
      <c r="I13" s="10" t="s">
        <v>30</v>
      </c>
      <c r="J13" s="10" t="s">
        <v>21</v>
      </c>
      <c r="K13" s="10" t="s">
        <v>21</v>
      </c>
      <c r="L13" s="10" t="s">
        <v>21</v>
      </c>
      <c r="M13" s="10" t="s">
        <v>21</v>
      </c>
      <c r="N13" s="10" t="s">
        <v>21</v>
      </c>
      <c r="O13" s="10" t="s">
        <v>21</v>
      </c>
      <c r="P13" s="10" t="s">
        <v>21</v>
      </c>
      <c r="Q13" s="10" t="s">
        <v>21</v>
      </c>
      <c r="R13" s="12" t="s">
        <v>71</v>
      </c>
    </row>
    <row r="14" spans="1:18">
      <c r="A14" s="3">
        <v>37</v>
      </c>
      <c r="B14" s="4">
        <v>45995.477384259262</v>
      </c>
      <c r="C14" s="4">
        <v>45995.570625</v>
      </c>
      <c r="D14" s="5" t="s">
        <v>23</v>
      </c>
      <c r="E14" s="5" t="s">
        <v>24</v>
      </c>
      <c r="F14" s="6">
        <v>45995</v>
      </c>
      <c r="G14" s="5" t="s">
        <v>25</v>
      </c>
      <c r="H14" s="5" t="s">
        <v>21</v>
      </c>
      <c r="I14" s="5" t="s">
        <v>21</v>
      </c>
      <c r="J14" s="5" t="s">
        <v>21</v>
      </c>
      <c r="K14" s="5" t="s">
        <v>21</v>
      </c>
      <c r="L14" s="5" t="s">
        <v>21</v>
      </c>
      <c r="M14" s="5" t="s">
        <v>21</v>
      </c>
      <c r="N14" s="5" t="s">
        <v>21</v>
      </c>
      <c r="O14" s="5" t="s">
        <v>21</v>
      </c>
      <c r="P14" s="5" t="s">
        <v>21</v>
      </c>
      <c r="Q14" s="5" t="s">
        <v>21</v>
      </c>
      <c r="R14" s="7"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AB65E-047E-4EAB-B4B0-4775C354D0AF}">
  <dimension ref="A1:B12"/>
  <sheetViews>
    <sheetView workbookViewId="0">
      <selection activeCell="D10" sqref="D10"/>
    </sheetView>
  </sheetViews>
  <sheetFormatPr defaultRowHeight="15"/>
  <cols>
    <col min="1" max="1" width="41.85546875" customWidth="1"/>
    <col min="3" max="3" width="15.140625" customWidth="1"/>
  </cols>
  <sheetData>
    <row r="1" spans="1:2" s="18" customFormat="1">
      <c r="A1" s="18" t="s">
        <v>78</v>
      </c>
      <c r="B1" s="19" t="s">
        <v>79</v>
      </c>
    </row>
    <row r="3" spans="1:2">
      <c r="A3" t="s">
        <v>80</v>
      </c>
      <c r="B3">
        <v>85</v>
      </c>
    </row>
    <row r="4" spans="1:2">
      <c r="A4" t="s">
        <v>81</v>
      </c>
      <c r="B4">
        <v>45</v>
      </c>
    </row>
    <row r="5" spans="1:2">
      <c r="A5" t="s">
        <v>82</v>
      </c>
      <c r="B5">
        <v>64</v>
      </c>
    </row>
    <row r="6" spans="1:2">
      <c r="A6" t="s">
        <v>83</v>
      </c>
      <c r="B6">
        <v>81</v>
      </c>
    </row>
    <row r="7" spans="1:2">
      <c r="A7" t="s">
        <v>84</v>
      </c>
      <c r="B7">
        <v>96</v>
      </c>
    </row>
    <row r="8" spans="1:2">
      <c r="A8" t="s">
        <v>85</v>
      </c>
      <c r="B8">
        <v>96</v>
      </c>
    </row>
    <row r="9" spans="1:2">
      <c r="A9" t="s">
        <v>86</v>
      </c>
      <c r="B9">
        <v>79</v>
      </c>
    </row>
    <row r="10" spans="1:2">
      <c r="A10" t="s">
        <v>87</v>
      </c>
      <c r="B10">
        <v>87</v>
      </c>
    </row>
    <row r="11" spans="1:2">
      <c r="A11" t="s">
        <v>88</v>
      </c>
      <c r="B11">
        <v>49</v>
      </c>
    </row>
    <row r="12" spans="1:2">
      <c r="A12" t="s">
        <v>89</v>
      </c>
      <c r="B12">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Talley, Ashley</cp:lastModifiedBy>
  <cp:revision/>
  <dcterms:created xsi:type="dcterms:W3CDTF">2025-12-05T17:11:02Z</dcterms:created>
  <dcterms:modified xsi:type="dcterms:W3CDTF">2025-12-12T14:19:23Z</dcterms:modified>
  <cp:category/>
  <cp:contentStatus/>
</cp:coreProperties>
</file>